
<file path=[Content_Types].xml><?xml version="1.0" encoding="utf-8"?>
<Types xmlns="http://schemas.openxmlformats.org/package/2006/content-types">
  <Default Extension="ashx" ContentType="image/gif"/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omas\Documents\label template\"/>
    </mc:Choice>
  </mc:AlternateContent>
  <xr:revisionPtr revIDLastSave="0" documentId="13_ncr:1_{80D7D8CB-A66F-493F-9923-D1D81357D735}" xr6:coauthVersionLast="47" xr6:coauthVersionMax="47" xr10:uidLastSave="{00000000-0000-0000-0000-000000000000}"/>
  <bookViews>
    <workbookView xWindow="-120" yWindow="-120" windowWidth="38640" windowHeight="21120" tabRatio="429" xr2:uid="{E558FC39-A52C-4AC6-9401-8A17BA1B9145}"/>
  </bookViews>
  <sheets>
    <sheet name="EAN13" sheetId="1" r:id="rId1"/>
    <sheet name="Data" sheetId="2" r:id="rId2"/>
  </sheets>
  <definedNames>
    <definedName name="location_key_val">Data!$B$3:$C$12</definedName>
    <definedName name="Locations">Data!$B$3:$B$12</definedName>
    <definedName name="_xlnm.Print_Area" localSheetId="0">'EAN13'!$O$5:$AN$11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1" i="1" l="1"/>
  <c r="AJ11" i="1" s="1" a="1"/>
  <c r="AJ11" i="1" s="1"/>
  <c r="AD11" i="1"/>
  <c r="AE11" i="1" s="1" a="1"/>
  <c r="AE11" i="1" s="1"/>
  <c r="AF11" i="1" s="1"/>
  <c r="AH11" i="1" s="1"/>
  <c r="Y11" i="1"/>
  <c r="Z11" i="1" s="1" a="1"/>
  <c r="Z11" i="1" s="1"/>
  <c r="T11" i="1"/>
  <c r="O11" i="1"/>
  <c r="P11" i="1" s="1" a="1"/>
  <c r="P11" i="1" s="1"/>
  <c r="Q11" i="1" s="1"/>
  <c r="S11" i="1" s="1"/>
  <c r="O9" i="1"/>
  <c r="T9" i="1"/>
  <c r="Y9" i="1"/>
  <c r="Z9" i="1" s="1" a="1"/>
  <c r="Z9" i="1" s="1"/>
  <c r="AD9" i="1"/>
  <c r="AE9" i="1" s="1" a="1"/>
  <c r="AE9" i="1" s="1"/>
  <c r="AF9" i="1" s="1"/>
  <c r="AH9" i="1" s="1"/>
  <c r="AI9" i="1"/>
  <c r="AI7" i="1"/>
  <c r="AD7" i="1"/>
  <c r="Y7" i="1"/>
  <c r="Z7" i="1" s="1" a="1"/>
  <c r="Z7" i="1" s="1"/>
  <c r="AA7" i="1" s="1"/>
  <c r="AC7" i="1" s="1"/>
  <c r="T7" i="1"/>
  <c r="U7" i="1" s="1" a="1"/>
  <c r="U7" i="1" s="1"/>
  <c r="O7" i="1"/>
  <c r="N11" i="1" a="1"/>
  <c r="N11" i="1" s="1"/>
  <c r="AI5" i="1"/>
  <c r="AD5" i="1"/>
  <c r="Y5" i="1"/>
  <c r="T5" i="1"/>
  <c r="O5" i="1"/>
  <c r="N9" i="1" a="1"/>
  <c r="N9" i="1" s="1"/>
  <c r="N7" i="1" a="1"/>
  <c r="N7" i="1" s="1"/>
  <c r="N5" i="1" a="1"/>
  <c r="N5" i="1" s="1"/>
  <c r="AK11" i="1" l="1"/>
  <c r="AM11" i="1" s="1"/>
  <c r="AA11" i="1"/>
  <c r="AC11" i="1" s="1"/>
  <c r="U11" i="1" a="1"/>
  <c r="U11" i="1" s="1"/>
  <c r="V11" i="1" s="1"/>
  <c r="X11" i="1" s="1"/>
  <c r="AA9" i="1"/>
  <c r="AC9" i="1" s="1"/>
  <c r="U9" i="1" a="1"/>
  <c r="U9" i="1" s="1"/>
  <c r="V9" i="1" s="1"/>
  <c r="X9" i="1" s="1"/>
  <c r="P9" i="1" a="1"/>
  <c r="P9" i="1" s="1"/>
  <c r="V7" i="1"/>
  <c r="X7" i="1" s="1"/>
  <c r="AE7" i="1" a="1"/>
  <c r="AE7" i="1" s="1"/>
  <c r="AF7" i="1" s="1"/>
  <c r="AH7" i="1" s="1"/>
  <c r="P7" i="1" a="1"/>
  <c r="P7" i="1" s="1"/>
  <c r="AE5" i="1" a="1"/>
  <c r="AE5" i="1" s="1"/>
  <c r="AF5" i="1" s="1"/>
  <c r="AH5" i="1" s="1"/>
  <c r="Z5" i="1" a="1"/>
  <c r="Z5" i="1" s="1"/>
  <c r="AA5" i="1" s="1"/>
  <c r="AC5" i="1" s="1"/>
  <c r="P5" i="1" a="1"/>
  <c r="P5" i="1" s="1"/>
  <c r="U5" i="1" a="1"/>
  <c r="U5" i="1" s="1"/>
  <c r="V5" i="1" s="1"/>
  <c r="X5" i="1" s="1"/>
  <c r="Q9" i="1" l="1"/>
  <c r="S9" i="1" s="1"/>
  <c r="Q7" i="1"/>
  <c r="S7" i="1" s="1"/>
  <c r="AJ5" i="1" a="1"/>
  <c r="AJ5" i="1" s="1"/>
  <c r="AK5" i="1" s="1"/>
  <c r="AM5" i="1" s="1"/>
  <c r="Q5" i="1"/>
  <c r="S5" i="1" s="1"/>
  <c r="AJ9" i="1" l="1" a="1"/>
  <c r="AJ9" i="1" s="1"/>
  <c r="AK9" i="1" s="1"/>
  <c r="AM9" i="1" s="1"/>
  <c r="AJ7" i="1" a="1"/>
  <c r="AJ7" i="1" s="1"/>
  <c r="AK7" i="1" s="1"/>
  <c r="AM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</author>
  </authors>
  <commentList>
    <comment ref="B3" authorId="0" shapeId="0" xr:uid="{308613C1-3628-4E03-BD2B-2C48265A8C12}">
      <text>
        <r>
          <rPr>
            <b/>
            <sz val="9"/>
            <color indexed="81"/>
            <rFont val="Tahoma"/>
            <charset val="1"/>
          </rPr>
          <t>Example
0: Any
1: My House
2: Father House</t>
        </r>
      </text>
    </comment>
    <comment ref="J3" authorId="0" shapeId="0" xr:uid="{A9A3079F-DEC9-4BDD-92F1-8933BF5EC90D}">
      <text>
        <r>
          <rPr>
            <b/>
            <sz val="9"/>
            <color indexed="81"/>
            <rFont val="Tahoma"/>
            <family val="2"/>
          </rPr>
          <t>Example
0: anyone
1: Thomas
2: John
3: Ada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</futureMetadata>
  <cellMetadata count="1">
    <bk>
      <rc t="1" v="0"/>
    </bk>
  </cellMetadata>
  <valueMetadata count="20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</valueMetadata>
</metadata>
</file>

<file path=xl/sharedStrings.xml><?xml version="1.0" encoding="utf-8"?>
<sst xmlns="http://schemas.openxmlformats.org/spreadsheetml/2006/main" count="26" uniqueCount="25">
  <si>
    <t>Check Digit</t>
  </si>
  <si>
    <t>1-12 digit</t>
  </si>
  <si>
    <t>site</t>
  </si>
  <si>
    <t>YY</t>
  </si>
  <si>
    <t>MM</t>
  </si>
  <si>
    <t>DD</t>
  </si>
  <si>
    <t>location</t>
  </si>
  <si>
    <t>Box</t>
  </si>
  <si>
    <t>sequence</t>
  </si>
  <si>
    <t>number</t>
  </si>
  <si>
    <t>Location</t>
  </si>
  <si>
    <t>Attric</t>
  </si>
  <si>
    <t>Basement</t>
  </si>
  <si>
    <t>Bathroom</t>
  </si>
  <si>
    <t>Bedroom</t>
  </si>
  <si>
    <t>Downstairs</t>
  </si>
  <si>
    <t>Entry</t>
  </si>
  <si>
    <t>Garage</t>
  </si>
  <si>
    <t>Kitchen</t>
  </si>
  <si>
    <t>Living Room</t>
  </si>
  <si>
    <t>Any</t>
  </si>
  <si>
    <t>Location Owner</t>
  </si>
  <si>
    <t>EAN13 Barcode</t>
  </si>
  <si>
    <t>Note</t>
  </si>
  <si>
    <t>13 
digit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</si>
</sst>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3" borderId="2" xfId="0" applyFont="1" applyFill="1" applyBorder="1" applyAlignment="1">
      <alignment horizontal="center" vertical="center" textRotation="90"/>
    </xf>
    <xf numFmtId="0" fontId="1" fillId="3" borderId="3" xfId="0" applyFont="1" applyFill="1" applyBorder="1" applyAlignment="1">
      <alignment horizontal="center" vertical="center" textRotation="90"/>
    </xf>
    <xf numFmtId="0" fontId="1" fillId="3" borderId="1" xfId="0" applyFont="1" applyFill="1" applyBorder="1" applyAlignment="1">
      <alignment horizontal="center" vertical="center" textRotation="90"/>
    </xf>
    <xf numFmtId="0" fontId="1" fillId="3" borderId="4" xfId="0" applyFont="1" applyFill="1" applyBorder="1" applyAlignment="1">
      <alignment horizontal="center" vertical="center" textRotation="90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0" fillId="4" borderId="0" xfId="0" applyFill="1"/>
    <xf numFmtId="0" fontId="1" fillId="4" borderId="0" xfId="0" applyFont="1" applyFill="1" applyAlignment="1">
      <alignment vertical="center"/>
    </xf>
    <xf numFmtId="0" fontId="0" fillId="4" borderId="0" xfId="0" applyFill="1" applyAlignment="1">
      <alignment horizontal="center" vertical="top"/>
    </xf>
    <xf numFmtId="0" fontId="0" fillId="4" borderId="0" xfId="0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0" fillId="3" borderId="0" xfId="0" applyFill="1" applyAlignment="1">
      <alignment horizontal="center" vertical="top"/>
    </xf>
    <xf numFmtId="0" fontId="0" fillId="3" borderId="0" xfId="0" applyFill="1"/>
    <xf numFmtId="0" fontId="1" fillId="0" borderId="1" xfId="0" applyFon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" fillId="3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vertical="center"/>
    </xf>
    <xf numFmtId="0" fontId="1" fillId="3" borderId="0" xfId="0" applyFont="1" applyFill="1" applyBorder="1" applyAlignment="1">
      <alignment horizontal="center" vertical="center" textRotation="90"/>
    </xf>
    <xf numFmtId="0" fontId="1" fillId="0" borderId="1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0/07/relationships/rdRichValueWebImage" Target="richData/rdRichValueWebImage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ashx"/><Relationship Id="rId13" Type="http://schemas.openxmlformats.org/officeDocument/2006/relationships/hyperlink" Target="https://barcode.tec-it.com/barcode.ashx?data=0250522000075&amp;code=EAN13&amp;dpi=300&amp;dataseparator=" TargetMode="External"/><Relationship Id="rId18" Type="http://schemas.openxmlformats.org/officeDocument/2006/relationships/image" Target="../media/image9.ashx"/><Relationship Id="rId26" Type="http://schemas.openxmlformats.org/officeDocument/2006/relationships/hyperlink" Target="https://barcode.tec-it.com/barcode.ashx?data=0250522000143&amp;code=EAN13&amp;dpi=300&amp;dataseparator=" TargetMode="External"/><Relationship Id="rId39" Type="http://schemas.openxmlformats.org/officeDocument/2006/relationships/image" Target="../media/image19.ashx"/><Relationship Id="rId3" Type="http://schemas.openxmlformats.org/officeDocument/2006/relationships/hyperlink" Target="https://barcode.tec-it.com/barcode.ashx?data=0250522000020&amp;code=EAN13&amp;dpi=300&amp;dataseparator=" TargetMode="External"/><Relationship Id="rId21" Type="http://schemas.openxmlformats.org/officeDocument/2006/relationships/hyperlink" Target="https://barcode.tec-it.com/barcode.ashx?data=0250522000112&amp;code=EAN13&amp;dpi=300&amp;dataseparator=%20" TargetMode="External"/><Relationship Id="rId34" Type="http://schemas.openxmlformats.org/officeDocument/2006/relationships/hyperlink" Target="https://barcode.tec-it.com/barcode.ashx?data=0250522000181&amp;code=EAN13&amp;dpi=300&amp;dataseparator=" TargetMode="External"/><Relationship Id="rId7" Type="http://schemas.openxmlformats.org/officeDocument/2006/relationships/hyperlink" Target="https://barcode.tec-it.com/barcode.ashx?data=0250522000044&amp;code=EAN13&amp;dpi=300&amp;dataseparator=" TargetMode="External"/><Relationship Id="rId12" Type="http://schemas.openxmlformats.org/officeDocument/2006/relationships/image" Target="../media/image6.ashx"/><Relationship Id="rId17" Type="http://schemas.openxmlformats.org/officeDocument/2006/relationships/hyperlink" Target="https://barcode.tec-it.com/barcode.ashx?data=0250522000099&amp;code=EAN13&amp;dpi=300&amp;dataseparator=" TargetMode="External"/><Relationship Id="rId25" Type="http://schemas.openxmlformats.org/officeDocument/2006/relationships/image" Target="../media/image12.ashx"/><Relationship Id="rId33" Type="http://schemas.openxmlformats.org/officeDocument/2006/relationships/image" Target="../media/image16.ashx"/><Relationship Id="rId38" Type="http://schemas.openxmlformats.org/officeDocument/2006/relationships/hyperlink" Target="https://barcode.tec-it.com/barcode.ashx?data=0250522000204&amp;code=EAN13&amp;dpi=300&amp;dataseparator=" TargetMode="External"/><Relationship Id="rId2" Type="http://schemas.openxmlformats.org/officeDocument/2006/relationships/image" Target="../media/image1.ashx"/><Relationship Id="rId16" Type="http://schemas.openxmlformats.org/officeDocument/2006/relationships/image" Target="../media/image8.ashx"/><Relationship Id="rId20" Type="http://schemas.openxmlformats.org/officeDocument/2006/relationships/image" Target="../media/image10.ashx"/><Relationship Id="rId29" Type="http://schemas.openxmlformats.org/officeDocument/2006/relationships/image" Target="../media/image14.ashx"/><Relationship Id="rId1" Type="http://schemas.openxmlformats.org/officeDocument/2006/relationships/hyperlink" Target="https://barcode.tec-it.com/barcode.ashx?data=0250522000013&amp;code=EAN13&amp;dpi=300&amp;dataseparator=" TargetMode="External"/><Relationship Id="rId6" Type="http://schemas.openxmlformats.org/officeDocument/2006/relationships/image" Target="../media/image3.ashx"/><Relationship Id="rId11" Type="http://schemas.openxmlformats.org/officeDocument/2006/relationships/hyperlink" Target="https://barcode.tec-it.com/barcode.ashx?data=0250522000068&amp;code=EAN13&amp;dpi=300&amp;dataseparator=" TargetMode="External"/><Relationship Id="rId24" Type="http://schemas.openxmlformats.org/officeDocument/2006/relationships/hyperlink" Target="https://barcode.tec-it.com/barcode.ashx?data=0250522000136&amp;code=EAN13&amp;dpi=300&amp;dataseparator=" TargetMode="External"/><Relationship Id="rId32" Type="http://schemas.openxmlformats.org/officeDocument/2006/relationships/hyperlink" Target="https://barcode.tec-it.com/barcode.ashx?data=0250522000174&amp;code=EAN13&amp;dpi=300&amp;dataseparator=" TargetMode="External"/><Relationship Id="rId37" Type="http://schemas.openxmlformats.org/officeDocument/2006/relationships/image" Target="../media/image18.ashx"/><Relationship Id="rId5" Type="http://schemas.openxmlformats.org/officeDocument/2006/relationships/hyperlink" Target="https://barcode.tec-it.com/barcode.ashx?data=0250522000037&amp;code=EAN13&amp;dpi=300&amp;dataseparator=" TargetMode="External"/><Relationship Id="rId15" Type="http://schemas.openxmlformats.org/officeDocument/2006/relationships/hyperlink" Target="https://barcode.tec-it.com/barcode.ashx?data=0250522000082&amp;code=EAN13&amp;dpi=300&amp;dataseparator=" TargetMode="External"/><Relationship Id="rId23" Type="http://schemas.openxmlformats.org/officeDocument/2006/relationships/image" Target="../media/image11.ashx"/><Relationship Id="rId28" Type="http://schemas.openxmlformats.org/officeDocument/2006/relationships/hyperlink" Target="https://barcode.tec-it.com/barcode.ashx?data=0250522000150&amp;code=EAN13&amp;dpi=300&amp;dataseparator=" TargetMode="External"/><Relationship Id="rId36" Type="http://schemas.openxmlformats.org/officeDocument/2006/relationships/hyperlink" Target="https://barcode.tec-it.com/barcode.ashx?data=0250522000198&amp;code=EAN13&amp;dpi=300&amp;dataseparator=" TargetMode="External"/><Relationship Id="rId10" Type="http://schemas.openxmlformats.org/officeDocument/2006/relationships/image" Target="../media/image5.ashx"/><Relationship Id="rId19" Type="http://schemas.openxmlformats.org/officeDocument/2006/relationships/hyperlink" Target="https://barcode.tec-it.com/barcode.ashx?data=0250522000105&amp;code=EAN13&amp;dpi=300&amp;dataseparator=" TargetMode="External"/><Relationship Id="rId31" Type="http://schemas.openxmlformats.org/officeDocument/2006/relationships/image" Target="../media/image15.ashx"/><Relationship Id="rId4" Type="http://schemas.openxmlformats.org/officeDocument/2006/relationships/image" Target="../media/image2.ashx"/><Relationship Id="rId9" Type="http://schemas.openxmlformats.org/officeDocument/2006/relationships/hyperlink" Target="https://barcode.tec-it.com/barcode.ashx?data=0250522000051&amp;code=EAN13&amp;dpi=300&amp;dataseparator=" TargetMode="External"/><Relationship Id="rId14" Type="http://schemas.openxmlformats.org/officeDocument/2006/relationships/image" Target="../media/image7.ashx"/><Relationship Id="rId22" Type="http://schemas.openxmlformats.org/officeDocument/2006/relationships/hyperlink" Target="https://barcode.tec-it.com/barcode.ashx?data=0250522000129&amp;code=EAN13&amp;dpi=300&amp;dataseparator=" TargetMode="External"/><Relationship Id="rId27" Type="http://schemas.openxmlformats.org/officeDocument/2006/relationships/image" Target="../media/image13.ashx"/><Relationship Id="rId30" Type="http://schemas.openxmlformats.org/officeDocument/2006/relationships/hyperlink" Target="https://barcode.tec-it.com/barcode.ashx?data=0250522000167&amp;code=EAN13&amp;dpi=300&amp;dataseparator=" TargetMode="External"/><Relationship Id="rId35" Type="http://schemas.openxmlformats.org/officeDocument/2006/relationships/image" Target="../media/image17.ashx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</webImageSrd>
  <webImageSrd>
    <address r:id="rId22"/>
    <blip r:id="rId23"/>
  </webImageSrd>
  <webImageSrd>
    <address r:id="rId24"/>
    <blip r:id="rId25"/>
  </webImageSrd>
  <webImageSrd>
    <address r:id="rId26"/>
    <blip r:id="rId27"/>
  </webImageSrd>
  <webImageSrd>
    <address r:id="rId28"/>
    <blip r:id="rId29"/>
  </webImageSrd>
  <webImageSrd>
    <address r:id="rId30"/>
    <blip r:id="rId31"/>
  </webImageSrd>
  <webImageSrd>
    <address r:id="rId32"/>
    <blip r:id="rId33"/>
  </webImageSrd>
  <webImageSrd>
    <address r:id="rId34"/>
    <blip r:id="rId35"/>
  </webImageSrd>
  <webImageSrd>
    <address r:id="rId36"/>
    <blip r:id="rId37"/>
  </webImageSrd>
  <webImageSrd>
    <address r:id="rId38"/>
    <blip r:id="rId39"/>
  </webImageSrd>
</webImagesSrd>
</file>

<file path=xl/richData/rdrichvalue.xml><?xml version="1.0" encoding="utf-8"?>
<rvData xmlns="http://schemas.microsoft.com/office/spreadsheetml/2017/richdata" count="20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-1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0">
    <v>16</v>
    <v>1</v>
    <v>0</v>
    <v>0</v>
  </rv>
  <rv s="0">
    <v>17</v>
    <v>1</v>
    <v>0</v>
    <v>0</v>
  </rv>
  <rv s="0">
    <v>18</v>
    <v>1</v>
    <v>0</v>
    <v>0</v>
  </rv>
  <rv s="0">
    <v>19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D9EEA-F0E1-4773-925C-4968B46B8AA3}">
  <sheetPr codeName="Sheet1"/>
  <dimension ref="A1:AO14"/>
  <sheetViews>
    <sheetView tabSelected="1" topLeftCell="B2" zoomScale="85" zoomScaleNormal="85" zoomScaleSheetLayoutView="85" workbookViewId="0">
      <selection activeCell="X20" sqref="X20"/>
    </sheetView>
  </sheetViews>
  <sheetFormatPr defaultRowHeight="15" x14ac:dyDescent="0.25"/>
  <cols>
    <col min="1" max="1" width="9.140625" style="12" hidden="1" customWidth="1"/>
    <col min="2" max="8" width="4.28515625" style="2" customWidth="1"/>
    <col min="9" max="9" width="6.28515625" style="2" customWidth="1"/>
    <col min="10" max="13" width="4.28515625" style="2" customWidth="1"/>
    <col min="14" max="14" width="7" style="2" customWidth="1"/>
    <col min="15" max="17" width="35.7109375" hidden="1" customWidth="1"/>
    <col min="18" max="18" width="3.7109375" customWidth="1"/>
    <col min="19" max="19" width="28.7109375" style="1" customWidth="1"/>
    <col min="20" max="22" width="35.7109375" hidden="1" customWidth="1"/>
    <col min="23" max="23" width="3.7109375" customWidth="1"/>
    <col min="24" max="24" width="28.7109375" style="1" customWidth="1"/>
    <col min="25" max="27" width="35.7109375" hidden="1" customWidth="1"/>
    <col min="28" max="28" width="3.7109375" customWidth="1"/>
    <col min="29" max="29" width="28.7109375" style="1" customWidth="1"/>
    <col min="30" max="32" width="35.7109375" hidden="1" customWidth="1"/>
    <col min="33" max="33" width="3.7109375" customWidth="1"/>
    <col min="34" max="34" width="28.7109375" style="1" customWidth="1"/>
    <col min="35" max="37" width="35.7109375" hidden="1" customWidth="1"/>
    <col min="38" max="38" width="3.7109375" customWidth="1"/>
    <col min="39" max="39" width="28.7109375" style="1" customWidth="1"/>
    <col min="40" max="40" width="3.28515625" customWidth="1"/>
    <col min="41" max="41" width="83.7109375" customWidth="1"/>
  </cols>
  <sheetData>
    <row r="1" spans="1:41" s="12" customFormat="1" ht="41.25" hidden="1" customHeight="1" x14ac:dyDescent="0.25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2">
        <v>1</v>
      </c>
      <c r="S1" s="15"/>
      <c r="T1" s="12">
        <v>2</v>
      </c>
      <c r="X1" s="15"/>
      <c r="Y1" s="12">
        <v>3</v>
      </c>
      <c r="AC1" s="15"/>
      <c r="AD1" s="12">
        <v>4</v>
      </c>
      <c r="AH1" s="15"/>
      <c r="AI1" s="12">
        <v>5</v>
      </c>
      <c r="AM1" s="15"/>
    </row>
    <row r="2" spans="1:41" s="4" customFormat="1" ht="51.75" customHeight="1" x14ac:dyDescent="0.25">
      <c r="A2" s="13"/>
      <c r="B2" s="21" t="s">
        <v>1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3"/>
      <c r="N2" s="40" t="s">
        <v>24</v>
      </c>
      <c r="O2" s="31" t="s">
        <v>22</v>
      </c>
      <c r="P2" s="32"/>
      <c r="Q2" s="32"/>
      <c r="R2" s="25" t="s">
        <v>22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7"/>
      <c r="AO2" s="38" t="s">
        <v>23</v>
      </c>
    </row>
    <row r="3" spans="1:41" s="4" customFormat="1" ht="123" customHeight="1" x14ac:dyDescent="0.25">
      <c r="A3" s="13"/>
      <c r="B3" s="7" t="s">
        <v>2</v>
      </c>
      <c r="C3" s="5" t="s">
        <v>3</v>
      </c>
      <c r="D3" s="6"/>
      <c r="E3" s="5" t="s">
        <v>4</v>
      </c>
      <c r="F3" s="6"/>
      <c r="G3" s="5" t="s">
        <v>5</v>
      </c>
      <c r="H3" s="8"/>
      <c r="I3" s="5" t="s">
        <v>6</v>
      </c>
      <c r="J3" s="6" t="s">
        <v>21</v>
      </c>
      <c r="K3" s="5" t="s">
        <v>7</v>
      </c>
      <c r="L3" s="8" t="s">
        <v>8</v>
      </c>
      <c r="M3" s="6" t="s">
        <v>9</v>
      </c>
      <c r="N3" s="7" t="s">
        <v>0</v>
      </c>
      <c r="O3" s="33"/>
      <c r="P3" s="34"/>
      <c r="Q3" s="34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9"/>
      <c r="AO3" s="39"/>
    </row>
    <row r="4" spans="1:41" s="4" customFormat="1" ht="17.25" customHeight="1" x14ac:dyDescent="0.25">
      <c r="A4" s="13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6"/>
      <c r="P4" s="36"/>
      <c r="Q4" s="36"/>
      <c r="R4" s="35"/>
      <c r="S4" s="30"/>
      <c r="T4" s="35"/>
      <c r="U4" s="35"/>
      <c r="V4" s="35"/>
      <c r="W4" s="35"/>
      <c r="X4" s="30"/>
      <c r="Y4" s="35"/>
      <c r="Z4" s="35"/>
      <c r="AA4" s="35"/>
      <c r="AB4" s="35"/>
      <c r="AC4" s="30"/>
      <c r="AD4" s="35"/>
      <c r="AE4" s="35"/>
      <c r="AF4" s="35"/>
      <c r="AG4" s="35"/>
      <c r="AH4" s="30"/>
      <c r="AI4" s="35"/>
      <c r="AJ4" s="35"/>
      <c r="AK4" s="35"/>
      <c r="AL4" s="35"/>
      <c r="AM4" s="30"/>
      <c r="AN4" s="35"/>
      <c r="AO4" s="16"/>
    </row>
    <row r="5" spans="1:41" s="4" customFormat="1" ht="72" customHeight="1" x14ac:dyDescent="0.25">
      <c r="A5" s="13">
        <v>0</v>
      </c>
      <c r="B5" s="10">
        <v>0</v>
      </c>
      <c r="C5" s="10">
        <v>2</v>
      </c>
      <c r="D5" s="10">
        <v>5</v>
      </c>
      <c r="E5" s="10">
        <v>0</v>
      </c>
      <c r="F5" s="10">
        <v>5</v>
      </c>
      <c r="G5" s="10">
        <v>2</v>
      </c>
      <c r="H5" s="10">
        <v>2</v>
      </c>
      <c r="I5" s="10">
        <v>0</v>
      </c>
      <c r="J5" s="10">
        <v>0</v>
      </c>
      <c r="K5" s="9">
        <v>0</v>
      </c>
      <c r="L5" s="9">
        <v>0</v>
      </c>
      <c r="M5" s="9">
        <v>1</v>
      </c>
      <c r="N5" s="3" cm="1">
        <f t="array" ref="N5">MOD(-SUM(MID(_xlfn.CONCAT(B5:M5),{1,3,5,7,9,11;2,4,6,8,10,12},1)*{1;3}),10)</f>
        <v>3</v>
      </c>
      <c r="O5" s="4" t="str">
        <f>_xlfn.CONCAT(B5:J5, TEXT(A5*5+O1,"000"))</f>
        <v>025052200001</v>
      </c>
      <c r="P5" s="4" cm="1">
        <f t="array" ref="P5">MOD(-SUM(MID(O5,{1,3,5,7,9,11;2,4,6,8,10,12},1)*{1;3}),10)</f>
        <v>3</v>
      </c>
      <c r="Q5" s="4" t="str">
        <f>_xlfn.CONCAT(O5:P5)</f>
        <v>0250522000013</v>
      </c>
      <c r="R5" s="16"/>
      <c r="S5" s="26" t="e" vm="1">
        <f>_xlfn.IMAGE("https://barcode.tec-it.com/barcode.ashx?data="&amp;Q5&amp;"&amp;code=EAN13&amp;dpi=300&amp;dataseparator=")</f>
        <v>#VALUE!</v>
      </c>
      <c r="T5" s="4" t="str">
        <f>_xlfn.CONCAT(B5:J5, TEXT(A5*5+T1,"000"))</f>
        <v>025052200002</v>
      </c>
      <c r="U5" s="4" cm="1">
        <f t="array" ref="U5">MOD(-SUM(MID(T5,{1,3,5,7,9,11;2,4,6,8,10,12},1)*{1;3}),10)</f>
        <v>0</v>
      </c>
      <c r="V5" s="4" t="str">
        <f>_xlfn.CONCAT(T5:U5)</f>
        <v>0250522000020</v>
      </c>
      <c r="X5" s="26" t="e" vm="2">
        <f>_xlfn.IMAGE("https://barcode.tec-it.com/barcode.ashx?data="&amp;V5&amp;"&amp;code=EAN13&amp;dpi=300&amp;dataseparator=")</f>
        <v>#VALUE!</v>
      </c>
      <c r="Y5" s="4" t="str">
        <f>_xlfn.CONCAT(B5:J5, TEXT(A5*5+Y1,"000"))</f>
        <v>025052200003</v>
      </c>
      <c r="Z5" s="4" cm="1">
        <f t="array" ref="Z5">MOD(-SUM(MID(Y5,{1,3,5,7,9,11;2,4,6,8,10,12},1)*{1;3}),10)</f>
        <v>7</v>
      </c>
      <c r="AA5" s="4" t="str">
        <f>_xlfn.CONCAT(Y5:Z5)</f>
        <v>0250522000037</v>
      </c>
      <c r="AC5" s="26" t="e" vm="3">
        <f>_xlfn.IMAGE("https://barcode.tec-it.com/barcode.ashx?data="&amp;AA5&amp;"&amp;code=EAN13&amp;dpi=300&amp;dataseparator=")</f>
        <v>#VALUE!</v>
      </c>
      <c r="AD5" s="4" t="str">
        <f>_xlfn.CONCAT(B5:J5, TEXT(A5*5+AD1,"000"))</f>
        <v>025052200004</v>
      </c>
      <c r="AE5" s="4" cm="1">
        <f t="array" ref="AE5">MOD(-SUM(MID(AD5,{1,3,5,7,9,11;2,4,6,8,10,12},1)*{1;3}),10)</f>
        <v>4</v>
      </c>
      <c r="AF5" s="4" t="str">
        <f>_xlfn.CONCAT(AD5:AE5)</f>
        <v>0250522000044</v>
      </c>
      <c r="AH5" s="26" t="e" vm="4">
        <f>_xlfn.IMAGE("https://barcode.tec-it.com/barcode.ashx?data="&amp;AF5&amp;"&amp;code=EAN13&amp;dpi=300&amp;dataseparator=")</f>
        <v>#VALUE!</v>
      </c>
      <c r="AI5" s="4" t="str">
        <f>_xlfn.CONCAT(B5:J5, TEXT(A5*5+AI1,"000"))</f>
        <v>025052200005</v>
      </c>
      <c r="AJ5" s="4" cm="1">
        <f t="array" ref="AJ5">MOD(-SUM(MID(AI5,{1,3,5,7,9,11;2,4,6,8,10,12},1)*{1;3}),10)</f>
        <v>1</v>
      </c>
      <c r="AK5" s="4" t="str">
        <f>_xlfn.CONCAT(AI5:AJ5)</f>
        <v>0250522000051</v>
      </c>
      <c r="AM5" s="26" t="e" vm="5">
        <f>_xlfn.IMAGE("https://barcode.tec-it.com/barcode.ashx?data="&amp;AK5&amp;"&amp;code=EAN13&amp;dpi=300&amp;dataseparator=")</f>
        <v>#VALUE!</v>
      </c>
      <c r="AN5" s="16"/>
      <c r="AO5" s="16"/>
    </row>
    <row r="6" spans="1:41" s="4" customFormat="1" ht="28.5" customHeight="1" x14ac:dyDescent="0.25">
      <c r="A6" s="16"/>
      <c r="B6" s="11"/>
      <c r="C6" s="11"/>
      <c r="D6" s="11"/>
      <c r="E6" s="11"/>
      <c r="F6" s="11"/>
      <c r="G6" s="11"/>
      <c r="H6" s="11"/>
      <c r="I6" s="11"/>
      <c r="J6" s="11"/>
      <c r="K6" s="9"/>
      <c r="L6" s="9"/>
      <c r="M6" s="9"/>
      <c r="N6" s="9"/>
      <c r="O6" s="16"/>
      <c r="P6" s="16"/>
      <c r="Q6" s="16"/>
      <c r="R6" s="16"/>
      <c r="S6" s="9"/>
      <c r="T6" s="16"/>
      <c r="U6" s="16"/>
      <c r="V6" s="16"/>
      <c r="W6" s="16"/>
      <c r="X6" s="9"/>
      <c r="Y6" s="16"/>
      <c r="Z6" s="16"/>
      <c r="AA6" s="16"/>
      <c r="AB6" s="16"/>
      <c r="AC6" s="9"/>
      <c r="AD6" s="16"/>
      <c r="AE6" s="16"/>
      <c r="AF6" s="16"/>
      <c r="AG6" s="16"/>
      <c r="AH6" s="9"/>
      <c r="AI6" s="16"/>
      <c r="AJ6" s="16"/>
      <c r="AK6" s="16"/>
      <c r="AL6" s="16"/>
      <c r="AM6" s="9"/>
      <c r="AN6" s="16"/>
      <c r="AO6" s="16"/>
    </row>
    <row r="7" spans="1:41" s="4" customFormat="1" ht="72" customHeight="1" x14ac:dyDescent="0.25">
      <c r="A7" s="13">
        <v>1</v>
      </c>
      <c r="B7" s="10">
        <v>0</v>
      </c>
      <c r="C7" s="10">
        <v>2</v>
      </c>
      <c r="D7" s="10">
        <v>5</v>
      </c>
      <c r="E7" s="10">
        <v>0</v>
      </c>
      <c r="F7" s="10">
        <v>5</v>
      </c>
      <c r="G7" s="10">
        <v>2</v>
      </c>
      <c r="H7" s="10">
        <v>2</v>
      </c>
      <c r="I7" s="10">
        <v>0</v>
      </c>
      <c r="J7" s="10">
        <v>0</v>
      </c>
      <c r="K7" s="9">
        <v>0</v>
      </c>
      <c r="L7" s="9">
        <v>0</v>
      </c>
      <c r="M7" s="9">
        <v>6</v>
      </c>
      <c r="N7" s="3" cm="1">
        <f t="array" ref="N7">MOD(-SUM(MID(_xlfn.CONCAT(B7:M7),{1,3,5,7,9,11;2,4,6,8,10,12},1)*{1;3}),10)</f>
        <v>8</v>
      </c>
      <c r="O7" s="4" t="str">
        <f>_xlfn.CONCAT(B7:J7, TEXT(A7*5+O1,"000"))</f>
        <v>025052200006</v>
      </c>
      <c r="P7" s="4" cm="1">
        <f t="array" ref="P7">MOD(-SUM(MID(O7,{1,3,5,7,9,11;2,4,6,8,10,12},1)*{1;3}),10)</f>
        <v>8</v>
      </c>
      <c r="Q7" s="4" t="str">
        <f>_xlfn.CONCAT(O7:P7)</f>
        <v>0250522000068</v>
      </c>
      <c r="R7" s="16"/>
      <c r="S7" s="19" t="e" vm="6">
        <f>_xlfn.IMAGE("https://barcode.tec-it.com/barcode.ashx?data="&amp;Q7&amp;"&amp;code=EAN13&amp;dpi=300&amp;dataseparator=")</f>
        <v>#VALUE!</v>
      </c>
      <c r="T7" s="4" t="str">
        <f>_xlfn.CONCAT(B7:J7, TEXT(A7*5+T1,"000"))</f>
        <v>025052200007</v>
      </c>
      <c r="U7" s="4" cm="1">
        <f t="array" ref="U7">MOD(-SUM(MID(T7,{1,3,5,7,9,11;2,4,6,8,10,12},1)*{1;3}),10)</f>
        <v>5</v>
      </c>
      <c r="V7" s="4" t="str">
        <f>_xlfn.CONCAT(T7:U7)</f>
        <v>0250522000075</v>
      </c>
      <c r="X7" s="19" t="e" vm="7">
        <f>_xlfn.IMAGE("https://barcode.tec-it.com/barcode.ashx?data="&amp;V7&amp;"&amp;code=EAN13&amp;dpi=300&amp;dataseparator=")</f>
        <v>#VALUE!</v>
      </c>
      <c r="Y7" s="4" t="str">
        <f>_xlfn.CONCAT(B7:J7, TEXT(A7*5+Y1,"000"))</f>
        <v>025052200008</v>
      </c>
      <c r="Z7" s="4" cm="1">
        <f t="array" ref="Z7">MOD(-SUM(MID(Y7,{1,3,5,7,9,11;2,4,6,8,10,12},1)*{1;3}),10)</f>
        <v>2</v>
      </c>
      <c r="AA7" s="4" t="str">
        <f>_xlfn.CONCAT(Y7:Z7)</f>
        <v>0250522000082</v>
      </c>
      <c r="AC7" s="19" t="e" vm="8">
        <f>_xlfn.IMAGE("https://barcode.tec-it.com/barcode.ashx?data="&amp;AA7&amp;"&amp;code=EAN13&amp;dpi=300&amp;dataseparator=")</f>
        <v>#VALUE!</v>
      </c>
      <c r="AD7" s="4" t="str">
        <f>_xlfn.CONCAT(B7:J7, TEXT(A7*5+AD1,"000"))</f>
        <v>025052200009</v>
      </c>
      <c r="AE7" s="4" cm="1">
        <f t="array" ref="AE7">MOD(-SUM(MID(AD7,{1,3,5,7,9,11;2,4,6,8,10,12},1)*{1;3}),10)</f>
        <v>9</v>
      </c>
      <c r="AF7" s="4" t="str">
        <f>_xlfn.CONCAT(AD7:AE7)</f>
        <v>0250522000099</v>
      </c>
      <c r="AH7" s="19" t="e" vm="9">
        <f>_xlfn.IMAGE("https://barcode.tec-it.com/barcode.ashx?data="&amp;AF7&amp;"&amp;code=EAN13&amp;dpi=300&amp;dataseparator=")</f>
        <v>#VALUE!</v>
      </c>
      <c r="AI7" s="4" t="str">
        <f>_xlfn.CONCAT(B7:J7, TEXT(A7*5+AI1,"000"))</f>
        <v>025052200010</v>
      </c>
      <c r="AJ7" s="4" cm="1">
        <f t="array" ref="AJ7">MOD(-SUM(MID(AI7,{1,3,5,7,9,11;2,4,6,8,10,12},1)*{1;3}),10)</f>
        <v>5</v>
      </c>
      <c r="AK7" s="4" t="str">
        <f>_xlfn.CONCAT(AI7:AJ7)</f>
        <v>0250522000105</v>
      </c>
      <c r="AM7" s="19" t="e" vm="10">
        <f>_xlfn.IMAGE("https://barcode.tec-it.com/barcode.ashx?data="&amp;AK7&amp;"&amp;code=EAN13&amp;dpi=300&amp;dataseparator=")</f>
        <v>#VALUE!</v>
      </c>
      <c r="AN7" s="16"/>
      <c r="AO7" s="16"/>
    </row>
    <row r="8" spans="1:41" ht="24.75" customHeight="1" x14ac:dyDescent="0.25"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8"/>
      <c r="P8" s="18"/>
      <c r="Q8" s="18"/>
      <c r="R8" s="18"/>
      <c r="S8" s="20"/>
      <c r="T8" s="18"/>
      <c r="U8" s="18"/>
      <c r="V8" s="18"/>
      <c r="W8" s="18"/>
      <c r="X8" s="20"/>
      <c r="Y8" s="18"/>
      <c r="Z8" s="18"/>
      <c r="AA8" s="18"/>
      <c r="AB8" s="18"/>
      <c r="AC8" s="20"/>
      <c r="AD8" s="18"/>
      <c r="AE8" s="18"/>
      <c r="AF8" s="18"/>
      <c r="AG8" s="18"/>
      <c r="AH8" s="20"/>
      <c r="AI8" s="18"/>
      <c r="AJ8" s="18"/>
      <c r="AK8" s="18"/>
      <c r="AL8" s="18"/>
      <c r="AM8" s="20"/>
      <c r="AN8" s="18"/>
      <c r="AO8" s="18"/>
    </row>
    <row r="9" spans="1:41" s="4" customFormat="1" ht="72" customHeight="1" x14ac:dyDescent="0.25">
      <c r="A9" s="13">
        <v>2</v>
      </c>
      <c r="B9" s="10">
        <v>0</v>
      </c>
      <c r="C9" s="10">
        <v>2</v>
      </c>
      <c r="D9" s="10">
        <v>5</v>
      </c>
      <c r="E9" s="10">
        <v>0</v>
      </c>
      <c r="F9" s="10">
        <v>5</v>
      </c>
      <c r="G9" s="10">
        <v>2</v>
      </c>
      <c r="H9" s="10">
        <v>2</v>
      </c>
      <c r="I9" s="10">
        <v>0</v>
      </c>
      <c r="J9" s="10">
        <v>0</v>
      </c>
      <c r="K9" s="9">
        <v>0</v>
      </c>
      <c r="L9" s="9">
        <v>1</v>
      </c>
      <c r="M9" s="9">
        <v>1</v>
      </c>
      <c r="N9" s="3" cm="1">
        <f t="array" ref="N9">MOD(-SUM(MID(_xlfn.CONCAT(B9:M9),{1,3,5,7,9,11;2,4,6,8,10,12},1)*{1;3}),10)</f>
        <v>2</v>
      </c>
      <c r="O9" s="4" t="str">
        <f>_xlfn.CONCAT(B9:J9, TEXT(A9*5+O1,"000"))</f>
        <v>025052200011</v>
      </c>
      <c r="P9" s="4" cm="1">
        <f t="array" ref="P9">MOD(-SUM(MID(O9,{1,3,5,7,9,11;2,4,6,8,10,12},1)*{1;3}),10)</f>
        <v>2</v>
      </c>
      <c r="Q9" s="4" t="str">
        <f>_xlfn.CONCAT(O9:P9)</f>
        <v>0250522000112</v>
      </c>
      <c r="R9" s="16"/>
      <c r="S9" s="19" t="e" vm="11">
        <f>_xlfn.IMAGE("https://barcode.tec-it.com/barcode.ashx?data="&amp;Q9&amp;"&amp;code=EAN13&amp;dpi=300&amp;dataseparator= ")</f>
        <v>#VALUE!</v>
      </c>
      <c r="T9" s="4" t="str">
        <f>_xlfn.CONCAT(B9:J9, TEXT(A9*5+T1,"000"))</f>
        <v>025052200012</v>
      </c>
      <c r="U9" s="4" cm="1">
        <f t="array" ref="U9">MOD(-SUM(MID(T9,{1,3,5,7,9,11;2,4,6,8,10,12},1)*{1;3}),10)</f>
        <v>9</v>
      </c>
      <c r="V9" s="4" t="str">
        <f>_xlfn.CONCAT(T9:U9)</f>
        <v>0250522000129</v>
      </c>
      <c r="X9" s="19" t="e" vm="12">
        <f>_xlfn.IMAGE("https://barcode.tec-it.com/barcode.ashx?data="&amp;V9&amp;"&amp;code=EAN13&amp;dpi=300&amp;dataseparator=")</f>
        <v>#VALUE!</v>
      </c>
      <c r="Y9" s="4" t="str">
        <f>_xlfn.CONCAT(B9:J9, TEXT(A9*5+Y1,"000"))</f>
        <v>025052200013</v>
      </c>
      <c r="Z9" s="4" cm="1">
        <f t="array" ref="Z9">MOD(-SUM(MID(Y9,{1,3,5,7,9,11;2,4,6,8,10,12},1)*{1;3}),10)</f>
        <v>6</v>
      </c>
      <c r="AA9" s="4" t="str">
        <f>_xlfn.CONCAT(Y9:Z9)</f>
        <v>0250522000136</v>
      </c>
      <c r="AC9" s="19" t="e" vm="13">
        <f>_xlfn.IMAGE("https://barcode.tec-it.com/barcode.ashx?data="&amp;AA9&amp;"&amp;code=EAN13&amp;dpi=300&amp;dataseparator=")</f>
        <v>#VALUE!</v>
      </c>
      <c r="AD9" s="4" t="str">
        <f>_xlfn.CONCAT(B9:J9, TEXT(A9*5+AD1,"000"))</f>
        <v>025052200014</v>
      </c>
      <c r="AE9" s="4" cm="1">
        <f t="array" ref="AE9">MOD(-SUM(MID(AD9,{1,3,5,7,9,11;2,4,6,8,10,12},1)*{1;3}),10)</f>
        <v>3</v>
      </c>
      <c r="AF9" s="4" t="str">
        <f>_xlfn.CONCAT(AD9:AE9)</f>
        <v>0250522000143</v>
      </c>
      <c r="AH9" s="19" t="e" vm="14">
        <f>_xlfn.IMAGE("https://barcode.tec-it.com/barcode.ashx?data="&amp;AF9&amp;"&amp;code=EAN13&amp;dpi=300&amp;dataseparator=")</f>
        <v>#VALUE!</v>
      </c>
      <c r="AI9" s="4" t="str">
        <f>_xlfn.CONCAT(B9:J9, TEXT(A9*5+AI1,"000"))</f>
        <v>025052200015</v>
      </c>
      <c r="AJ9" s="4" cm="1">
        <f t="array" ref="AJ9">MOD(-SUM(MID(AI9,{1,3,5,7,9,11;2,4,6,8,10,12},1)*{1;3}),10)</f>
        <v>0</v>
      </c>
      <c r="AK9" s="4" t="str">
        <f>_xlfn.CONCAT(AI9:AJ9)</f>
        <v>0250522000150</v>
      </c>
      <c r="AM9" s="19" t="e" vm="15">
        <f>_xlfn.IMAGE("https://barcode.tec-it.com/barcode.ashx?data="&amp;AK9&amp;"&amp;code=EAN13&amp;dpi=300&amp;dataseparator=")</f>
        <v>#VALUE!</v>
      </c>
      <c r="AN9" s="16"/>
      <c r="AO9" s="16"/>
    </row>
    <row r="10" spans="1:41" ht="24.75" customHeight="1" x14ac:dyDescent="0.25"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8"/>
      <c r="P10" s="18"/>
      <c r="Q10" s="18"/>
      <c r="R10" s="18"/>
      <c r="S10" s="20"/>
      <c r="T10" s="18"/>
      <c r="U10" s="18"/>
      <c r="V10" s="18"/>
      <c r="W10" s="18"/>
      <c r="X10" s="20"/>
      <c r="Y10" s="18"/>
      <c r="Z10" s="18"/>
      <c r="AA10" s="18"/>
      <c r="AB10" s="18"/>
      <c r="AC10" s="20"/>
      <c r="AD10" s="18"/>
      <c r="AE10" s="18"/>
      <c r="AF10" s="18"/>
      <c r="AG10" s="18"/>
      <c r="AH10" s="20"/>
      <c r="AI10" s="18"/>
      <c r="AJ10" s="18"/>
      <c r="AK10" s="18"/>
      <c r="AL10" s="18"/>
      <c r="AM10" s="20"/>
      <c r="AN10" s="18"/>
      <c r="AO10" s="18"/>
    </row>
    <row r="11" spans="1:41" s="4" customFormat="1" ht="72" customHeight="1" x14ac:dyDescent="0.25">
      <c r="A11" s="13">
        <v>3</v>
      </c>
      <c r="B11" s="10">
        <v>0</v>
      </c>
      <c r="C11" s="10">
        <v>2</v>
      </c>
      <c r="D11" s="10">
        <v>5</v>
      </c>
      <c r="E11" s="10">
        <v>0</v>
      </c>
      <c r="F11" s="10">
        <v>5</v>
      </c>
      <c r="G11" s="10">
        <v>2</v>
      </c>
      <c r="H11" s="10">
        <v>2</v>
      </c>
      <c r="I11" s="10">
        <v>0</v>
      </c>
      <c r="J11" s="10">
        <v>0</v>
      </c>
      <c r="K11" s="9">
        <v>0</v>
      </c>
      <c r="L11" s="9">
        <v>1</v>
      </c>
      <c r="M11" s="9">
        <v>6</v>
      </c>
      <c r="N11" s="3" cm="1">
        <f t="array" ref="N11">MOD(-SUM(MID(_xlfn.CONCAT(B11:M11),{1,3,5,7,9,11;2,4,6,8,10,12},1)*{1;3}),10)</f>
        <v>7</v>
      </c>
      <c r="O11" s="4" t="str">
        <f>_xlfn.CONCAT(B11:J11, TEXT(A11*5+O1,"000"))</f>
        <v>025052200016</v>
      </c>
      <c r="P11" s="4" cm="1">
        <f t="array" ref="P11">MOD(-SUM(MID(O11,{1,3,5,7,9,11;2,4,6,8,10,12},1)*{1;3}),10)</f>
        <v>7</v>
      </c>
      <c r="Q11" s="4" t="str">
        <f>_xlfn.CONCAT(O11:P11)</f>
        <v>0250522000167</v>
      </c>
      <c r="R11" s="16"/>
      <c r="S11" s="19" t="e" vm="16">
        <f>_xlfn.IMAGE("https://barcode.tec-it.com/barcode.ashx?data="&amp;Q11&amp;"&amp;code=EAN13&amp;dpi=300&amp;dataseparator=")</f>
        <v>#VALUE!</v>
      </c>
      <c r="T11" s="4" t="str">
        <f>_xlfn.CONCAT(B11:J11, TEXT(A11*5+T1,"000"))</f>
        <v>025052200017</v>
      </c>
      <c r="U11" s="4" cm="1">
        <f t="array" ref="U11">MOD(-SUM(MID(T11,{1,3,5,7,9,11;2,4,6,8,10,12},1)*{1;3}),10)</f>
        <v>4</v>
      </c>
      <c r="V11" s="4" t="str">
        <f>_xlfn.CONCAT(T11:U11)</f>
        <v>0250522000174</v>
      </c>
      <c r="X11" s="19" t="e" vm="17">
        <f>_xlfn.IMAGE("https://barcode.tec-it.com/barcode.ashx?data="&amp;V11&amp;"&amp;code=EAN13&amp;dpi=300&amp;dataseparator=")</f>
        <v>#VALUE!</v>
      </c>
      <c r="Y11" s="4" t="str">
        <f>_xlfn.CONCAT(B11:J11, TEXT(A11*5+Y1,"000"))</f>
        <v>025052200018</v>
      </c>
      <c r="Z11" s="4" cm="1">
        <f t="array" ref="Z11">MOD(-SUM(MID(Y11,{1,3,5,7,9,11;2,4,6,8,10,12},1)*{1;3}),10)</f>
        <v>1</v>
      </c>
      <c r="AA11" s="4" t="str">
        <f>_xlfn.CONCAT(Y11:Z11)</f>
        <v>0250522000181</v>
      </c>
      <c r="AC11" s="19" t="e" vm="18">
        <f>_xlfn.IMAGE("https://barcode.tec-it.com/barcode.ashx?data="&amp;AA11&amp;"&amp;code=EAN13&amp;dpi=300&amp;dataseparator=")</f>
        <v>#VALUE!</v>
      </c>
      <c r="AD11" s="4" t="str">
        <f>_xlfn.CONCAT(B11:J11, TEXT(A11*5+AD1,"000"))</f>
        <v>025052200019</v>
      </c>
      <c r="AE11" s="4" cm="1">
        <f t="array" ref="AE11">MOD(-SUM(MID(AD11,{1,3,5,7,9,11;2,4,6,8,10,12},1)*{1;3}),10)</f>
        <v>8</v>
      </c>
      <c r="AF11" s="4" t="str">
        <f>_xlfn.CONCAT(AD11:AE11)</f>
        <v>0250522000198</v>
      </c>
      <c r="AH11" s="19" t="e" vm="19">
        <f>_xlfn.IMAGE("https://barcode.tec-it.com/barcode.ashx?data="&amp;AF11&amp;"&amp;code=EAN13&amp;dpi=300&amp;dataseparator=")</f>
        <v>#VALUE!</v>
      </c>
      <c r="AI11" s="4" t="str">
        <f>_xlfn.CONCAT(B11:J11, TEXT(A11*5+AI1,"000"))</f>
        <v>025052200020</v>
      </c>
      <c r="AJ11" s="4" cm="1">
        <f t="array" ref="AJ11">MOD(-SUM(MID(AI11,{1,3,5,7,9,11;2,4,6,8,10,12},1)*{1;3}),10)</f>
        <v>4</v>
      </c>
      <c r="AK11" s="4" t="str">
        <f>_xlfn.CONCAT(AI11:AJ11)</f>
        <v>0250522000204</v>
      </c>
      <c r="AM11" s="19" t="e" vm="20">
        <f>_xlfn.IMAGE("https://barcode.tec-it.com/barcode.ashx?data="&amp;AK11&amp;"&amp;code=EAN13&amp;dpi=300&amp;dataseparator=")</f>
        <v>#VALUE!</v>
      </c>
      <c r="AN11" s="16"/>
      <c r="AO11" s="16"/>
    </row>
    <row r="12" spans="1:41" x14ac:dyDescent="0.25"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8"/>
      <c r="Q12" s="18"/>
      <c r="R12" s="18"/>
      <c r="S12" s="20"/>
      <c r="T12" s="18"/>
      <c r="U12" s="18"/>
      <c r="V12" s="18"/>
      <c r="W12" s="18"/>
      <c r="X12" s="20"/>
      <c r="Y12" s="18"/>
      <c r="Z12" s="18"/>
      <c r="AA12" s="18"/>
      <c r="AB12" s="18"/>
      <c r="AC12" s="20"/>
      <c r="AD12" s="18"/>
      <c r="AE12" s="18"/>
      <c r="AF12" s="18"/>
      <c r="AG12" s="18"/>
      <c r="AH12" s="20"/>
      <c r="AI12" s="18"/>
      <c r="AJ12" s="18"/>
      <c r="AK12" s="18"/>
      <c r="AL12" s="18"/>
      <c r="AM12" s="20"/>
      <c r="AN12" s="18"/>
      <c r="AO12" s="18"/>
    </row>
    <row r="13" spans="1:41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8"/>
      <c r="Q13" s="18"/>
      <c r="R13" s="18"/>
      <c r="S13" s="20"/>
      <c r="T13" s="18"/>
      <c r="U13" s="18"/>
      <c r="V13" s="18"/>
      <c r="W13" s="18"/>
      <c r="X13" s="20"/>
      <c r="Y13" s="18"/>
      <c r="Z13" s="18"/>
      <c r="AA13" s="18"/>
      <c r="AB13" s="18"/>
      <c r="AC13" s="20"/>
      <c r="AD13" s="18"/>
      <c r="AE13" s="18"/>
      <c r="AF13" s="18"/>
      <c r="AG13" s="18"/>
      <c r="AH13" s="20"/>
      <c r="AI13" s="18"/>
      <c r="AJ13" s="18"/>
      <c r="AK13" s="18"/>
      <c r="AL13" s="18"/>
      <c r="AM13" s="20"/>
      <c r="AN13" s="18"/>
      <c r="AO13" s="18"/>
    </row>
    <row r="14" spans="1:41" x14ac:dyDescent="0.25"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8"/>
      <c r="Q14" s="18"/>
      <c r="R14" s="18"/>
      <c r="S14" s="20"/>
      <c r="T14" s="18"/>
      <c r="U14" s="18"/>
      <c r="V14" s="18"/>
      <c r="W14" s="18"/>
      <c r="X14" s="20"/>
      <c r="Y14" s="18"/>
      <c r="Z14" s="18"/>
      <c r="AA14" s="18"/>
      <c r="AB14" s="18"/>
      <c r="AC14" s="20"/>
      <c r="AD14" s="18"/>
      <c r="AE14" s="18"/>
      <c r="AF14" s="18"/>
      <c r="AG14" s="18"/>
      <c r="AH14" s="20"/>
      <c r="AI14" s="18"/>
      <c r="AJ14" s="18"/>
      <c r="AK14" s="18"/>
      <c r="AL14" s="18"/>
      <c r="AM14" s="20"/>
      <c r="AN14" s="18"/>
      <c r="AO14" s="18"/>
    </row>
  </sheetData>
  <mergeCells count="3">
    <mergeCell ref="AO2:AO3"/>
    <mergeCell ref="B2:M2"/>
    <mergeCell ref="R2:AN3"/>
  </mergeCells>
  <dataValidations count="1">
    <dataValidation type="list" allowBlank="1" showInputMessage="1" showErrorMessage="1" sqref="I5 I7 I9 I11" xr:uid="{3411A3FD-9578-4750-8AE4-8D17F37E20F1}">
      <formula1>Locations</formula1>
    </dataValidation>
  </dataValidations>
  <pageMargins left="0.7" right="0.7" top="0.75" bottom="0.75" header="0.3" footer="0.3"/>
  <pageSetup paperSize="9" scale="45" orientation="portrait" r:id="rId1"/>
  <ignoredErrors>
    <ignoredError sqref="N5 N7 N9 N11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E0FA3-7A2E-4093-9908-80C8F05A8D05}">
  <sheetPr codeName="Sheet2"/>
  <dimension ref="B2:C12"/>
  <sheetViews>
    <sheetView workbookViewId="0">
      <selection activeCell="M6" sqref="M6"/>
    </sheetView>
  </sheetViews>
  <sheetFormatPr defaultRowHeight="15" x14ac:dyDescent="0.25"/>
  <cols>
    <col min="2" max="2" width="20.85546875" style="1" customWidth="1"/>
    <col min="3" max="3" width="5.5703125" customWidth="1"/>
  </cols>
  <sheetData>
    <row r="2" spans="2:3" x14ac:dyDescent="0.25">
      <c r="B2" s="24" t="s">
        <v>10</v>
      </c>
      <c r="C2" s="24"/>
    </row>
    <row r="3" spans="2:3" x14ac:dyDescent="0.25">
      <c r="B3" t="s">
        <v>20</v>
      </c>
      <c r="C3">
        <v>0</v>
      </c>
    </row>
    <row r="4" spans="2:3" x14ac:dyDescent="0.25">
      <c r="B4" t="s">
        <v>11</v>
      </c>
      <c r="C4">
        <v>1</v>
      </c>
    </row>
    <row r="5" spans="2:3" x14ac:dyDescent="0.25">
      <c r="B5" t="s">
        <v>12</v>
      </c>
      <c r="C5">
        <v>2</v>
      </c>
    </row>
    <row r="6" spans="2:3" x14ac:dyDescent="0.25">
      <c r="B6" t="s">
        <v>13</v>
      </c>
      <c r="C6">
        <v>3</v>
      </c>
    </row>
    <row r="7" spans="2:3" x14ac:dyDescent="0.25">
      <c r="B7" t="s">
        <v>14</v>
      </c>
      <c r="C7">
        <v>4</v>
      </c>
    </row>
    <row r="8" spans="2:3" x14ac:dyDescent="0.25">
      <c r="B8" t="s">
        <v>15</v>
      </c>
      <c r="C8">
        <v>5</v>
      </c>
    </row>
    <row r="9" spans="2:3" x14ac:dyDescent="0.25">
      <c r="B9" t="s">
        <v>16</v>
      </c>
      <c r="C9">
        <v>6</v>
      </c>
    </row>
    <row r="10" spans="2:3" x14ac:dyDescent="0.25">
      <c r="B10" t="s">
        <v>17</v>
      </c>
      <c r="C10">
        <v>7</v>
      </c>
    </row>
    <row r="11" spans="2:3" x14ac:dyDescent="0.25">
      <c r="B11" t="s">
        <v>18</v>
      </c>
      <c r="C11">
        <v>8</v>
      </c>
    </row>
    <row r="12" spans="2:3" x14ac:dyDescent="0.25">
      <c r="B12" t="s">
        <v>19</v>
      </c>
      <c r="C12">
        <v>9</v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EAN13</vt:lpstr>
      <vt:lpstr>Data</vt:lpstr>
      <vt:lpstr>location_key_val</vt:lpstr>
      <vt:lpstr>Locations</vt:lpstr>
      <vt:lpstr>'EAN13'!Print_Area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vnetic Leung</dc:creator>
  <cp:lastModifiedBy>vnetic Leung</cp:lastModifiedBy>
  <cp:lastPrinted>2025-05-22T07:16:33Z</cp:lastPrinted>
  <dcterms:created xsi:type="dcterms:W3CDTF">2025-05-21T08:54:42Z</dcterms:created>
  <dcterms:modified xsi:type="dcterms:W3CDTF">2025-05-22T10:00:17Z</dcterms:modified>
</cp:coreProperties>
</file>