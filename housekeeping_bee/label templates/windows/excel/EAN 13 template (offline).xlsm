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omas\Documents\label template\"/>
    </mc:Choice>
  </mc:AlternateContent>
  <xr:revisionPtr revIDLastSave="0" documentId="13_ncr:1_{42BFE5DC-C5BC-485D-B6DE-C44D23F2DC3C}" xr6:coauthVersionLast="47" xr6:coauthVersionMax="47" xr10:uidLastSave="{00000000-0000-0000-0000-000000000000}"/>
  <bookViews>
    <workbookView xWindow="-120" yWindow="-120" windowWidth="38640" windowHeight="21120" tabRatio="429" xr2:uid="{E558FC39-A52C-4AC6-9401-8A17BA1B9145}"/>
  </bookViews>
  <sheets>
    <sheet name="Notes" sheetId="6" r:id="rId1"/>
    <sheet name="Barcode" sheetId="3" r:id="rId2"/>
    <sheet name="Data" sheetId="2" state="hidden" r:id="rId3"/>
    <sheet name="Tables" sheetId="5" state="hidden" r:id="rId4"/>
    <sheet name="Ref" sheetId="4" r:id="rId5"/>
  </sheets>
  <definedNames>
    <definedName name="_xleta.PY" hidden="1" xlm="1">#NAME?</definedName>
    <definedName name="location_key_val">Data!$B$3:$C$12</definedName>
    <definedName name="Locations">Data!$B$3:$B$12</definedName>
    <definedName name="_xlnm.Print_Area" localSheetId="1">Barcode!$Q$2:$Z$7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" l="1"/>
  <c r="C7" i="3" s="1"/>
  <c r="H6" i="3"/>
  <c r="H7" i="3" s="1"/>
  <c r="H8" i="3" s="1"/>
  <c r="H9" i="3" s="1"/>
  <c r="H10" i="3" s="1"/>
  <c r="H11" i="3" s="1"/>
  <c r="H12" i="3" s="1"/>
  <c r="H13" i="3" s="1"/>
  <c r="G6" i="3"/>
  <c r="G7" i="3" s="1"/>
  <c r="G8" i="3" s="1"/>
  <c r="G9" i="3" s="1"/>
  <c r="G10" i="3" s="1"/>
  <c r="G11" i="3" s="1"/>
  <c r="G12" i="3" s="1"/>
  <c r="G13" i="3" s="1"/>
  <c r="F6" i="3"/>
  <c r="F7" i="3" s="1"/>
  <c r="F8" i="3" s="1"/>
  <c r="F9" i="3" s="1"/>
  <c r="F10" i="3" s="1"/>
  <c r="F11" i="3" s="1"/>
  <c r="F12" i="3" s="1"/>
  <c r="F13" i="3" s="1"/>
  <c r="E6" i="3"/>
  <c r="E7" i="3" s="1"/>
  <c r="E8" i="3" s="1"/>
  <c r="E9" i="3" s="1"/>
  <c r="E10" i="3" s="1"/>
  <c r="E11" i="3" s="1"/>
  <c r="E12" i="3" s="1"/>
  <c r="E13" i="3" s="1"/>
  <c r="I5" i="3"/>
  <c r="I6" i="3" s="1"/>
  <c r="I7" i="3" s="1"/>
  <c r="I8" i="3" s="1"/>
  <c r="I9" i="3" s="1"/>
  <c r="I10" i="3" s="1"/>
  <c r="I11" i="3" s="1"/>
  <c r="I12" i="3" s="1"/>
  <c r="I13" i="3" s="1"/>
  <c r="H5" i="3"/>
  <c r="G5" i="3"/>
  <c r="F5" i="3"/>
  <c r="E5" i="3"/>
  <c r="D5" i="3"/>
  <c r="D6" i="3" s="1"/>
  <c r="D7" i="3" s="1"/>
  <c r="D8" i="3" s="1"/>
  <c r="D9" i="3" s="1"/>
  <c r="D10" i="3" s="1"/>
  <c r="D11" i="3" s="1"/>
  <c r="C5" i="3"/>
  <c r="D12" i="3" l="1"/>
  <c r="O5" i="3" a="1"/>
  <c r="O5" i="3" s="1"/>
  <c r="T4" i="3" s="1"/>
  <c r="O7" i="3" a="1"/>
  <c r="O7" i="3" s="1"/>
  <c r="X4" i="3" s="1"/>
  <c r="C8" i="3"/>
  <c r="O6" i="3" a="1"/>
  <c r="O6" i="3" s="1"/>
  <c r="V4" i="3" s="1"/>
  <c r="O4" i="3" a="1"/>
  <c r="O4" i="3" s="1"/>
  <c r="R4" i="3" s="1"/>
  <c r="D13" i="3" l="1"/>
  <c r="O8" i="3" a="1"/>
  <c r="O8" i="3" s="1"/>
  <c r="Z4" i="3" s="1"/>
  <c r="C9" i="3"/>
  <c r="O9" i="3" l="1" a="1"/>
  <c r="O9" i="3" s="1"/>
  <c r="R6" i="3" s="1"/>
  <c r="C10" i="3"/>
  <c r="C11" i="3" l="1"/>
  <c r="O10" i="3" a="1"/>
  <c r="O10" i="3" s="1"/>
  <c r="T6" i="3" s="1"/>
  <c r="O11" i="3" l="1" a="1"/>
  <c r="O11" i="3" s="1"/>
  <c r="V6" i="3" s="1"/>
  <c r="C12" i="3"/>
  <c r="C13" i="3" l="1"/>
  <c r="O13" i="3" s="1" a="1"/>
  <c r="O13" i="3" s="1"/>
  <c r="Z6" i="3" s="1"/>
  <c r="O12" i="3" a="1"/>
  <c r="O12" i="3" s="1"/>
  <c r="X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</author>
  </authors>
  <commentList>
    <comment ref="C3" authorId="0" shapeId="0" xr:uid="{44C6A3A4-4650-4F8A-B5ED-BA435CC948CE}">
      <text>
        <r>
          <rPr>
            <b/>
            <sz val="9"/>
            <color indexed="81"/>
            <rFont val="Tahoma"/>
            <charset val="1"/>
          </rPr>
          <t>Example
0: Any
1: My House
2: Father House</t>
        </r>
      </text>
    </comment>
    <comment ref="K3" authorId="0" shapeId="0" xr:uid="{DBC011CD-9280-482C-A932-6DD32080AB25}">
      <text>
        <r>
          <rPr>
            <b/>
            <sz val="9"/>
            <color indexed="81"/>
            <rFont val="Tahoma"/>
            <family val="2"/>
          </rPr>
          <t>Example
0: anyone
1: Thomas
2: John
3: Ada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<sst xmlns="http://schemas.openxmlformats.org/spreadsheetml/2006/main" count="139" uniqueCount="79">
  <si>
    <t>Check Digit</t>
  </si>
  <si>
    <t>1-12 digit</t>
  </si>
  <si>
    <t>site</t>
  </si>
  <si>
    <t>YY</t>
  </si>
  <si>
    <t>MM</t>
  </si>
  <si>
    <t>DD</t>
  </si>
  <si>
    <t>location</t>
  </si>
  <si>
    <t>Box</t>
  </si>
  <si>
    <t>sequence</t>
  </si>
  <si>
    <t>number</t>
  </si>
  <si>
    <t>Location</t>
  </si>
  <si>
    <t>Attric</t>
  </si>
  <si>
    <t>Basement</t>
  </si>
  <si>
    <t>Bathroom</t>
  </si>
  <si>
    <t>Bedroom</t>
  </si>
  <si>
    <t>Downstairs</t>
  </si>
  <si>
    <t>Entry</t>
  </si>
  <si>
    <t>Garage</t>
  </si>
  <si>
    <t>Kitchen</t>
  </si>
  <si>
    <t>Living Room</t>
  </si>
  <si>
    <t>Any</t>
  </si>
  <si>
    <t>Location Owner</t>
  </si>
  <si>
    <t>13 
digit</t>
  </si>
  <si>
    <t>Table A</t>
  </si>
  <si>
    <t>Table B</t>
  </si>
  <si>
    <t>Table C</t>
  </si>
  <si>
    <t>https://www.1001fonts.com/code-ean13-font.html</t>
  </si>
  <si>
    <t>According to digit 1</t>
  </si>
  <si>
    <t>Digit 2</t>
  </si>
  <si>
    <t>Digit 3</t>
  </si>
  <si>
    <t>Digit 4</t>
  </si>
  <si>
    <t>Digit 5</t>
  </si>
  <si>
    <t>Digit 6</t>
  </si>
  <si>
    <t>Digit 7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</si>
  <si>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</si>
  <si>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</si>
  <si>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</si>
  <si>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</si>
  <si>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</si>
  <si>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</si>
  <si>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</si>
  <si>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</si>
  <si>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</si>
  <si>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</si>
  <si>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</si>
  <si>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</si>
  <si>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</si>
  <si>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</si>
  <si>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</si>
  <si>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</si>
  <si>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</si>
  <si>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</si>
  <si>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</si>
  <si>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</si>
  <si>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</si>
  <si>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</si>
  <si>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</si>
  <si>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</si>
  <si>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</si>
  <si>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</si>
  <si>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</si>
  <si>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</si>
  <si>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</si>
  <si>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</si>
  <si>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Pattern</t>
  </si>
  <si>
    <t>https://grandzebu.net/informatique/codbar-en/ean13.htm</t>
  </si>
  <si>
    <t>Download the EAN 13 TrueType Font (TTF) from 1001fonts</t>
  </si>
  <si>
    <t>EAN 13 details</t>
  </si>
  <si>
    <t>Description</t>
  </si>
  <si>
    <t>URL</t>
  </si>
  <si>
    <t>Step</t>
  </si>
  <si>
    <t>Go to the download folder</t>
  </si>
  <si>
    <t>Procedures of installing EAN 13 font</t>
  </si>
  <si>
    <t>Double click the file</t>
  </si>
  <si>
    <t>A font preview window should be launched</t>
  </si>
  <si>
    <t xml:space="preserve">Click the "Install" button to add the TTF </t>
  </si>
  <si>
    <t>Close this Excel file</t>
  </si>
  <si>
    <t>Re-open this Excel file. You should see the barcode</t>
  </si>
  <si>
    <t>You need a EAN 13 TureType Font. You can download the file from https://www.1001fonts.com/code-ean13-font.html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</si>
</sst>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Tahoma"/>
      <charset val="1"/>
    </font>
    <font>
      <sz val="72"/>
      <color theme="1"/>
      <name val="Code EAN13"/>
      <charset val="2"/>
    </font>
    <font>
      <u/>
      <sz val="11"/>
      <color theme="10"/>
      <name val="Aptos Narrow"/>
      <family val="2"/>
      <scheme val="minor"/>
    </font>
    <font>
      <b/>
      <sz val="11"/>
      <color theme="1"/>
      <name val="Times New Roman"/>
      <family val="1"/>
    </font>
    <font>
      <sz val="2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/>
    </xf>
    <xf numFmtId="0" fontId="1" fillId="3" borderId="2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 textRotation="90"/>
    </xf>
    <xf numFmtId="0" fontId="1" fillId="3" borderId="4" xfId="0" applyFont="1" applyFill="1" applyBorder="1" applyAlignment="1">
      <alignment horizontal="center" vertical="center" textRotation="90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 applyAlignment="1">
      <alignment horizontal="center" vertical="center" wrapText="1"/>
    </xf>
    <xf numFmtId="0" fontId="6" fillId="0" borderId="0" xfId="1" applyAlignment="1">
      <alignment wrapText="1"/>
    </xf>
    <xf numFmtId="0" fontId="1" fillId="5" borderId="0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center" vertical="center" textRotation="90"/>
    </xf>
    <xf numFmtId="0" fontId="1" fillId="5" borderId="0" xfId="0" applyFont="1" applyFill="1" applyAlignment="1">
      <alignment horizontal="center" vertical="center"/>
    </xf>
    <xf numFmtId="0" fontId="0" fillId="5" borderId="0" xfId="0" applyFill="1"/>
    <xf numFmtId="0" fontId="5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textRotation="90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0" fontId="5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top"/>
    </xf>
    <xf numFmtId="0" fontId="0" fillId="3" borderId="1" xfId="0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104775</xdr:rowOff>
        </xdr:from>
        <xdr:to>
          <xdr:col>17</xdr:col>
          <xdr:colOff>1419225</xdr:colOff>
          <xdr:row>0</xdr:row>
          <xdr:rowOff>495300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01fonts.com/code-ean13-fon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C2B37-2AA4-4AF1-BA47-CAD66A72141B}">
  <sheetPr codeName="Sheet5"/>
  <dimension ref="B2:C11"/>
  <sheetViews>
    <sheetView tabSelected="1" workbookViewId="0">
      <selection activeCell="C37" sqref="C37"/>
    </sheetView>
  </sheetViews>
  <sheetFormatPr defaultRowHeight="15" x14ac:dyDescent="0.25"/>
  <cols>
    <col min="2" max="2" width="9.140625" style="2"/>
    <col min="3" max="3" width="110.140625" style="34" customWidth="1"/>
  </cols>
  <sheetData>
    <row r="2" spans="2:3" ht="18.75" x14ac:dyDescent="0.25">
      <c r="B2" s="35" t="s">
        <v>72</v>
      </c>
    </row>
    <row r="4" spans="2:3" s="38" customFormat="1" ht="33.75" customHeight="1" x14ac:dyDescent="0.25">
      <c r="B4" s="36" t="s">
        <v>70</v>
      </c>
      <c r="C4" s="37"/>
    </row>
    <row r="5" spans="2:3" s="38" customFormat="1" ht="33.75" customHeight="1" x14ac:dyDescent="0.25">
      <c r="B5" s="36">
        <v>1</v>
      </c>
      <c r="C5" s="39" t="s">
        <v>78</v>
      </c>
    </row>
    <row r="6" spans="2:3" s="38" customFormat="1" ht="33.75" customHeight="1" x14ac:dyDescent="0.25">
      <c r="B6" s="36">
        <v>2</v>
      </c>
      <c r="C6" s="37" t="s">
        <v>71</v>
      </c>
    </row>
    <row r="7" spans="2:3" s="38" customFormat="1" ht="33.75" customHeight="1" x14ac:dyDescent="0.25">
      <c r="B7" s="36">
        <v>3</v>
      </c>
      <c r="C7" s="37" t="s">
        <v>73</v>
      </c>
    </row>
    <row r="8" spans="2:3" s="38" customFormat="1" ht="33.75" customHeight="1" x14ac:dyDescent="0.25">
      <c r="B8" s="36">
        <v>4</v>
      </c>
      <c r="C8" s="37" t="s">
        <v>74</v>
      </c>
    </row>
    <row r="9" spans="2:3" s="38" customFormat="1" ht="33.75" customHeight="1" x14ac:dyDescent="0.25">
      <c r="B9" s="36">
        <v>5</v>
      </c>
      <c r="C9" s="37" t="s">
        <v>75</v>
      </c>
    </row>
    <row r="10" spans="2:3" s="38" customFormat="1" ht="33.75" customHeight="1" x14ac:dyDescent="0.25">
      <c r="B10" s="36">
        <v>6</v>
      </c>
      <c r="C10" s="37" t="s">
        <v>76</v>
      </c>
    </row>
    <row r="11" spans="2:3" s="38" customFormat="1" ht="33.75" customHeight="1" x14ac:dyDescent="0.25">
      <c r="B11" s="36">
        <v>7</v>
      </c>
      <c r="C11" s="37" t="s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7F20E-261E-413C-8CEE-5AF9A652EA46}">
  <sheetPr codeName="Sheet1"/>
  <dimension ref="B1:Z13"/>
  <sheetViews>
    <sheetView zoomScale="85" zoomScaleNormal="85" workbookViewId="0">
      <selection activeCell="R17" sqref="R17"/>
    </sheetView>
  </sheetViews>
  <sheetFormatPr defaultRowHeight="15" x14ac:dyDescent="0.25"/>
  <cols>
    <col min="1" max="1" width="6.140625" customWidth="1"/>
    <col min="2" max="2" width="7.28515625" style="2" customWidth="1"/>
    <col min="3" max="4" width="6" bestFit="1" customWidth="1"/>
    <col min="5" max="5" width="3" bestFit="1" customWidth="1"/>
    <col min="6" max="6" width="6" bestFit="1" customWidth="1"/>
    <col min="7" max="7" width="3" bestFit="1" customWidth="1"/>
    <col min="8" max="8" width="6" bestFit="1" customWidth="1"/>
    <col min="9" max="9" width="3" bestFit="1" customWidth="1"/>
    <col min="10" max="14" width="6" bestFit="1" customWidth="1"/>
    <col min="15" max="15" width="6.5703125" bestFit="1" customWidth="1"/>
    <col min="16" max="16" width="1.5703125" style="20" customWidth="1"/>
    <col min="17" max="17" width="5.7109375" style="25" customWidth="1"/>
    <col min="18" max="18" width="38.7109375" customWidth="1"/>
    <col min="19" max="19" width="5.7109375" customWidth="1"/>
    <col min="20" max="20" width="38.7109375" customWidth="1"/>
    <col min="21" max="21" width="5.7109375" customWidth="1"/>
    <col min="22" max="22" width="38.7109375" customWidth="1"/>
    <col min="23" max="23" width="5.7109375" customWidth="1"/>
    <col min="24" max="24" width="38.7109375" customWidth="1"/>
    <col min="25" max="25" width="5.7109375" customWidth="1"/>
    <col min="26" max="26" width="38.7109375" customWidth="1"/>
    <col min="27" max="27" width="5.7109375" customWidth="1"/>
    <col min="28" max="28" width="31.85546875" customWidth="1"/>
  </cols>
  <sheetData>
    <row r="1" spans="2:26" ht="52.5" customHeight="1" x14ac:dyDescent="0.25"/>
    <row r="2" spans="2:26" ht="41.25" customHeight="1" x14ac:dyDescent="0.25">
      <c r="B2" s="33"/>
      <c r="C2" s="10" t="s">
        <v>1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  <c r="O2" s="9" t="s">
        <v>22</v>
      </c>
      <c r="P2" s="17"/>
      <c r="Q2" s="22"/>
    </row>
    <row r="3" spans="2:26" ht="108.75" x14ac:dyDescent="0.25">
      <c r="B3" s="32"/>
      <c r="C3" s="5" t="s">
        <v>2</v>
      </c>
      <c r="D3" s="3" t="s">
        <v>3</v>
      </c>
      <c r="E3" s="4"/>
      <c r="F3" s="3" t="s">
        <v>4</v>
      </c>
      <c r="G3" s="4"/>
      <c r="H3" s="3" t="s">
        <v>5</v>
      </c>
      <c r="I3" s="6"/>
      <c r="J3" s="3" t="s">
        <v>6</v>
      </c>
      <c r="K3" s="4" t="s">
        <v>21</v>
      </c>
      <c r="L3" s="3" t="s">
        <v>7</v>
      </c>
      <c r="M3" s="6" t="s">
        <v>8</v>
      </c>
      <c r="N3" s="4" t="s">
        <v>9</v>
      </c>
      <c r="O3" s="5" t="s">
        <v>0</v>
      </c>
      <c r="P3" s="18"/>
      <c r="Q3" s="23"/>
      <c r="R3" s="27">
        <v>1</v>
      </c>
      <c r="S3" s="27"/>
      <c r="T3" s="27">
        <v>2</v>
      </c>
      <c r="U3" s="27"/>
      <c r="V3" s="27">
        <v>3</v>
      </c>
      <c r="W3" s="27"/>
      <c r="X3" s="27">
        <v>4</v>
      </c>
      <c r="Y3" s="27"/>
      <c r="Z3" s="27">
        <v>5</v>
      </c>
    </row>
    <row r="4" spans="2:26" s="1" customFormat="1" ht="110.1" customHeight="1" x14ac:dyDescent="0.25">
      <c r="B4" s="29">
        <v>1</v>
      </c>
      <c r="C4" s="30">
        <v>0</v>
      </c>
      <c r="D4" s="30">
        <v>2</v>
      </c>
      <c r="E4" s="30">
        <v>5</v>
      </c>
      <c r="F4" s="30">
        <v>0</v>
      </c>
      <c r="G4" s="30">
        <v>5</v>
      </c>
      <c r="H4" s="30">
        <v>3</v>
      </c>
      <c r="I4" s="30">
        <v>1</v>
      </c>
      <c r="J4" s="30">
        <v>9</v>
      </c>
      <c r="K4" s="30">
        <v>0</v>
      </c>
      <c r="L4" s="7">
        <v>0</v>
      </c>
      <c r="M4" s="7">
        <v>0</v>
      </c>
      <c r="N4" s="7">
        <v>1</v>
      </c>
      <c r="O4" s="8" cm="1">
        <f t="array" ref="O4">MOD(-SUM(MID(_xlfn.CONCAT(C4:N4),{1,3,5,7,9,11;2,4,6,8,10,12},1)*{1;3}),10)</f>
        <v>4</v>
      </c>
      <c r="P4" s="19"/>
      <c r="Q4" s="24"/>
      <c r="R4" s="26" t="str">
        <f>_xlfn.CONCAT(
C4,
IF(VLOOKUP(C4,Tables!A3:G12,2,TRUE)="A",VLOOKUP(D4,Tables!A16:B25,2,FALSE),VLOOKUP(D4,Tables!C16:D25,2,FALSE)),
IF(VLOOKUP(C4,Tables!A3:G12,3,TRUE)="A",VLOOKUP(E4,Tables!A16:B25,2,FALSE),VLOOKUP(E4,Tables!C16:D25,2,FALSE)),
IF(VLOOKUP(C4,Tables!A3:G12,4,TRUE)="A",VLOOKUP(F4,Tables!A16:B25,2,FALSE),VLOOKUP(F4,Tables!C16:D25,2,FALSE)),
IF(VLOOKUP(C4,Tables!A3:G12,5,TRUE)="A",VLOOKUP(G4,Tables!A16:B25,2,FALSE),VLOOKUP(G4,Tables!C16:D25,2,FALSE)),
IF(VLOOKUP(C4,Tables!A3:G12,6,TRUE)="A",VLOOKUP(H4,Tables!A16:B25,2,FALSE),VLOOKUP(H4,Tables!C16:D25,2,FALSE)),
IF(VLOOKUP(C4,Tables!A3:G12,7,TRUE)="A",VLOOKUP(I4,Tables!A16:B25,2,FALSE),VLOOKUP(I4,Tables!C16:D25,2,FALSE)),
"*",
VLOOKUP(J4,Tables!E16:F25,2,FALSE),
VLOOKUP(K4,Tables!E16:F25,2,FALSE),
VLOOKUP(L4,Tables!E16:F25,2,FALSE),
VLOOKUP(M4,Tables!E16:F25,2,FALSE),
VLOOKUP(N4,Tables!E16:F25,2,FALSE),
VLOOKUP(O4,Tables!E16:F25,2,FALSE),
"*"
)</f>
        <v>0CFAFDB*jaaabe*</v>
      </c>
      <c r="S4" s="21"/>
      <c r="T4" s="26" t="str">
        <f>_xlfn.CONCAT(
C5,
IF(VLOOKUP(C5,Tables!A3:G12,2,TRUE)="A",VLOOKUP(D5,Tables!A16:B25,2,FALSE),VLOOKUP(D5,Tables!C16:D25,2,FALSE)),
IF(VLOOKUP(C5,Tables!A3:G12,3,TRUE)="A",VLOOKUP(E5,Tables!A16:B25,2,FALSE),VLOOKUP(E5,Tables!C16:D25,2,FALSE)),
IF(VLOOKUP(C5,Tables!A3:G12,4,TRUE)="A",VLOOKUP(F5,Tables!A16:B25,2,FALSE),VLOOKUP(F5,Tables!C16:D25,2,FALSE)),
IF(VLOOKUP(C5,Tables!A3:G12,5,TRUE)="A",VLOOKUP(G5,Tables!A16:B25,2,FALSE),VLOOKUP(G5,Tables!C16:D25,2,FALSE)),
IF(VLOOKUP(C5,Tables!A3:G12,6,TRUE)="A",VLOOKUP(H5,Tables!A16:B25,2,FALSE),VLOOKUP(H5,Tables!C16:D25,2,FALSE)),
IF(VLOOKUP(C5,Tables!A3:G12,7,TRUE)="A",VLOOKUP(I5,Tables!A16:B25,2,FALSE),VLOOKUP(I5,Tables!C16:D25,2,FALSE)),
"*",
VLOOKUP(J5,Tables!E16:F25,2,FALSE),
VLOOKUP(K5,Tables!E16:F25,2,FALSE),
VLOOKUP(L5,Tables!E16:F25,2,FALSE),
VLOOKUP(M5,Tables!E16:F25,2,FALSE),
VLOOKUP(N5,Tables!E16:F25,2,FALSE),
VLOOKUP(O5,Tables!E16:F25,2,FALSE),
"*"
)</f>
        <v>0CFAFDB*aaaaci*</v>
      </c>
      <c r="V4" s="26" t="str">
        <f>_xlfn.CONCAT(
C6,
IF(VLOOKUP(C6,Tables!A3:G12,2,TRUE)="A",VLOOKUP(D6,Tables!A16:B25,2,FALSE),VLOOKUP(D6,Tables!C16:D25,2,FALSE)),
IF(VLOOKUP(C6,Tables!A3:G12,3,TRUE)="A",VLOOKUP(E6,Tables!A16:B25,2,FALSE),VLOOKUP(E6,Tables!C16:D25,2,FALSE)),
IF(VLOOKUP(C6,Tables!A3:G12,4,TRUE)="A",VLOOKUP(F6,Tables!A16:B25,2,FALSE),VLOOKUP(F6,Tables!C16:D25,2,FALSE)),
IF(VLOOKUP(C6,Tables!A3:G12,5,TRUE)="A",VLOOKUP(G6,Tables!A16:B25,2,FALSE),VLOOKUP(G6,Tables!C16:D25,2,FALSE)),
IF(VLOOKUP(C6,Tables!A3:G12,6,TRUE)="A",VLOOKUP(H6,Tables!A16:B25,2,FALSE),VLOOKUP(H6,Tables!C16:D25,2,FALSE)),
IF(VLOOKUP(C6,Tables!A3:G12,7,TRUE)="A",VLOOKUP(I6,Tables!A16:B25,2,FALSE),VLOOKUP(I6,Tables!C16:D25,2,FALSE)),
"*",
VLOOKUP(J6,Tables!E16:F25,2,FALSE),
VLOOKUP(K6,Tables!E16:F25,2,FALSE),
VLOOKUP(L6,Tables!E16:F25,2,FALSE),
VLOOKUP(M6,Tables!E16:F25,2,FALSE),
VLOOKUP(N6,Tables!E16:F25,2,FALSE),
VLOOKUP(O6,Tables!E16:F25,2,FALSE),
"*"
)</f>
        <v>0CFAFDB*aaaadf*</v>
      </c>
      <c r="X4" s="26" t="str">
        <f>_xlfn.CONCAT(
C7,
IF(VLOOKUP(C7,Tables!A3:G12,2,TRUE)="A",VLOOKUP(D7,Tables!A16:B25,2,FALSE),VLOOKUP(D7,Tables!C16:D25,2,FALSE)),
IF(VLOOKUP(C7,Tables!A3:G12,3,TRUE)="A",VLOOKUP(E7,Tables!A16:B25,2,FALSE),VLOOKUP(E7,Tables!C16:D25,2,FALSE)),
IF(VLOOKUP(C7,Tables!A3:G12,4,TRUE)="A",VLOOKUP(F7,Tables!A16:B25,2,FALSE),VLOOKUP(F7,Tables!C16:D25,2,FALSE)),
IF(VLOOKUP(C7,Tables!A3:G12,5,TRUE)="A",VLOOKUP(G7,Tables!A16:B25,2,FALSE),VLOOKUP(G7,Tables!C16:D25,2,FALSE)),
IF(VLOOKUP(C7,Tables!A3:G12,6,TRUE)="A",VLOOKUP(H7,Tables!A16:B25,2,FALSE),VLOOKUP(H7,Tables!C16:D25,2,FALSE)),
IF(VLOOKUP(C7,Tables!A3:G12,7,TRUE)="A",VLOOKUP(I7,Tables!A16:B25,2,FALSE),VLOOKUP(I7,Tables!C16:D25,2,FALSE)),
"*",
VLOOKUP(J7,Tables!E16:F25,2,FALSE),
VLOOKUP(K7,Tables!E16:F25,2,FALSE),
VLOOKUP(L7,Tables!E16:F25,2,FALSE),
VLOOKUP(M7,Tables!E16:F25,2,FALSE),
VLOOKUP(N7,Tables!E16:F25,2,FALSE),
VLOOKUP(O7,Tables!E16:F25,2,FALSE),
"*"
)</f>
        <v>0CFAFDB*aaaaec*</v>
      </c>
      <c r="Z4" s="26" t="str">
        <f>_xlfn.CONCAT(
C8,
IF(VLOOKUP(C8,Tables!A3:G12,2,TRUE)="A",VLOOKUP(D8,Tables!A16:B25,2,FALSE),VLOOKUP(D8,Tables!C16:D25,2,FALSE)),
IF(VLOOKUP(C8,Tables!A3:G12,3,TRUE)="A",VLOOKUP(E8,Tables!A16:B25,2,FALSE),VLOOKUP(E8,Tables!C16:D25,2,FALSE)),
IF(VLOOKUP(C8,Tables!A3:G12,4,TRUE)="A",VLOOKUP(F8,Tables!A16:B25,2,FALSE),VLOOKUP(F8,Tables!C16:D25,2,FALSE)),
IF(VLOOKUP(C8,Tables!A3:G12,5,TRUE)="A",VLOOKUP(G8,Tables!A16:B25,2,FALSE),VLOOKUP(G8,Tables!C16:D25,2,FALSE)),
IF(VLOOKUP(C8,Tables!A3:G12,6,TRUE)="A",VLOOKUP(H8,Tables!A16:B25,2,FALSE),VLOOKUP(H8,Tables!C16:D25,2,FALSE)),
IF(VLOOKUP(C8,Tables!A3:G12,7,TRUE)="A",VLOOKUP(I8,Tables!A16:B25,2,FALSE),VLOOKUP(I8,Tables!C16:D25,2,FALSE)),
"*",
VLOOKUP(J8,Tables!E16:F25,2,FALSE),
VLOOKUP(K8,Tables!E16:F25,2,FALSE),
VLOOKUP(L8,Tables!E16:F25,2,FALSE),
VLOOKUP(M8,Tables!E16:F25,2,FALSE),
VLOOKUP(N8,Tables!E16:F25,2,FALSE),
VLOOKUP(O8,Tables!E16:F25,2,FALSE),
"*"
)</f>
        <v>0CFAFDB*aaaafj*</v>
      </c>
    </row>
    <row r="5" spans="2:26" ht="23.25" customHeight="1" x14ac:dyDescent="0.25">
      <c r="B5" s="29">
        <v>2</v>
      </c>
      <c r="C5" s="31">
        <f>C4</f>
        <v>0</v>
      </c>
      <c r="D5" s="31">
        <f>D4</f>
        <v>2</v>
      </c>
      <c r="E5" s="31">
        <f>E4</f>
        <v>5</v>
      </c>
      <c r="F5" s="31">
        <f>F4</f>
        <v>0</v>
      </c>
      <c r="G5" s="31">
        <f>G4</f>
        <v>5</v>
      </c>
      <c r="H5" s="31">
        <f>H4</f>
        <v>3</v>
      </c>
      <c r="I5" s="31">
        <f>I4</f>
        <v>1</v>
      </c>
      <c r="J5" s="30">
        <v>0</v>
      </c>
      <c r="K5" s="30">
        <v>0</v>
      </c>
      <c r="L5" s="7">
        <v>0</v>
      </c>
      <c r="M5" s="7">
        <v>0</v>
      </c>
      <c r="N5" s="7">
        <v>2</v>
      </c>
      <c r="O5" s="8" cm="1">
        <f t="array" ref="O5">MOD(-SUM(MID(_xlfn.CONCAT(C5:N5),{1,3,5,7,9,11;2,4,6,8,10,12},1)*{1;3}),10)</f>
        <v>8</v>
      </c>
    </row>
    <row r="6" spans="2:26" ht="110.1" customHeight="1" x14ac:dyDescent="0.25">
      <c r="B6" s="29">
        <v>3</v>
      </c>
      <c r="C6" s="31">
        <f>C4</f>
        <v>0</v>
      </c>
      <c r="D6" s="31">
        <f t="shared" ref="D6:D13" si="0">D5</f>
        <v>2</v>
      </c>
      <c r="E6" s="31">
        <f t="shared" ref="E6:E13" si="1">E5</f>
        <v>5</v>
      </c>
      <c r="F6" s="31">
        <f t="shared" ref="F6:F13" si="2">F5</f>
        <v>0</v>
      </c>
      <c r="G6" s="31">
        <f t="shared" ref="G6:G13" si="3">G5</f>
        <v>5</v>
      </c>
      <c r="H6" s="31">
        <f t="shared" ref="H6:H13" si="4">H5</f>
        <v>3</v>
      </c>
      <c r="I6" s="31">
        <f t="shared" ref="I6:I13" si="5">I5</f>
        <v>1</v>
      </c>
      <c r="J6" s="30">
        <v>0</v>
      </c>
      <c r="K6" s="30">
        <v>0</v>
      </c>
      <c r="L6" s="7">
        <v>0</v>
      </c>
      <c r="M6" s="7">
        <v>0</v>
      </c>
      <c r="N6" s="7">
        <v>3</v>
      </c>
      <c r="O6" s="8" cm="1">
        <f t="array" ref="O6">MOD(-SUM(MID(_xlfn.CONCAT(C6:N6),{1,3,5,7,9,11;2,4,6,8,10,12},1)*{1;3}),10)</f>
        <v>5</v>
      </c>
      <c r="R6" s="26" t="str">
        <f>_xlfn.CONCAT(
C9,
IF(VLOOKUP(C9,Tables!A3:G12,2,TRUE)="A",VLOOKUP(D9,Tables!A16:B25,2,FALSE),VLOOKUP(D9,Tables!C16:D25,2,FALSE)),
IF(VLOOKUP(C9,Tables!A3:G12,3,TRUE)="A",VLOOKUP(E9,Tables!A16:B25,2,FALSE),VLOOKUP(E9,Tables!C16:D25,2,FALSE)),
IF(VLOOKUP(C9,Tables!A3:G12,4,TRUE)="A",VLOOKUP(F9,Tables!A16:B25,2,FALSE),VLOOKUP(F9,Tables!C16:D25,2,FALSE)),
IF(VLOOKUP(C9,Tables!A3:G12,5,TRUE)="A",VLOOKUP(G9,Tables!A16:B25,2,FALSE),VLOOKUP(G9,Tables!C16:D25,2,FALSE)),
IF(VLOOKUP(C9,Tables!A3:G12,6,TRUE)="A",VLOOKUP(H9,Tables!A16:B25,2,FALSE),VLOOKUP(H9,Tables!C16:D25,2,FALSE)),
IF(VLOOKUP(C9,Tables!A3:G12,7,TRUE)="A",VLOOKUP(I9,Tables!A16:B25,2,FALSE),VLOOKUP(I9,Tables!C16:D25,2,FALSE)),
"*",
VLOOKUP(J9,Tables!E16:F25,2,FALSE),
VLOOKUP(K9,Tables!E16:F25,2,FALSE),
VLOOKUP(L9,Tables!E16:F25,2,FALSE),
VLOOKUP(M9,Tables!E16:F25,2,FALSE),
VLOOKUP(N9,Tables!E16:F25,2,FALSE),
VLOOKUP(O9,Tables!E16:F25,2,FALSE),
"*"
)</f>
        <v>0CFAFDB*aaaagg*</v>
      </c>
      <c r="T6" s="26" t="str">
        <f>_xlfn.CONCAT(
C10,
IF(VLOOKUP(C10,Tables!A3:G12,2,TRUE)="A",VLOOKUP(D10,Tables!A16:B25,2,FALSE),VLOOKUP(D10,Tables!C16:D25,2,FALSE)),
IF(VLOOKUP(C10,Tables!A3:G12,3,TRUE)="A",VLOOKUP(E10,Tables!A16:B25,2,FALSE),VLOOKUP(E10,Tables!C16:D25,2,FALSE)),
IF(VLOOKUP(C10,Tables!A3:G12,4,TRUE)="A",VLOOKUP(F10,Tables!A16:B25,2,FALSE),VLOOKUP(F10,Tables!C16:D25,2,FALSE)),
IF(VLOOKUP(C10,Tables!A3:G12,5,TRUE)="A",VLOOKUP(G10,Tables!A16:B25,2,FALSE),VLOOKUP(G10,Tables!C16:D25,2,FALSE)),
IF(VLOOKUP(C10,Tables!A3:G12,6,TRUE)="A",VLOOKUP(H10,Tables!A16:B25,2,FALSE),VLOOKUP(H10,Tables!C16:D25,2,FALSE)),
IF(VLOOKUP(C10,Tables!A3:G12,7,TRUE)="A",VLOOKUP(I10,Tables!A16:B25,2,FALSE),VLOOKUP(I10,Tables!C16:D25,2,FALSE)),
"*",
VLOOKUP(J10,Tables!E16:F25,2,FALSE),
VLOOKUP(K10,Tables!E16:F25,2,FALSE),
VLOOKUP(L10,Tables!E16:F25,2,FALSE),
VLOOKUP(M10,Tables!E16:F25,2,FALSE),
VLOOKUP(N10,Tables!E16:F25,2,FALSE),
VLOOKUP(O10,Tables!E16:F25,2,FALSE),
"*"
)</f>
        <v>0CFAFDB*aaaahd*</v>
      </c>
      <c r="V6" s="26" t="str">
        <f>_xlfn.CONCAT(
C11,
IF(VLOOKUP(C11,Tables!A3:G12,2,TRUE)="A",VLOOKUP(D11,Tables!A16:B25,2,FALSE),VLOOKUP(D11,Tables!C16:D25,2,FALSE)),
IF(VLOOKUP(C11,Tables!A3:G12,3,TRUE)="A",VLOOKUP(E11,Tables!A16:B25,2,FALSE),VLOOKUP(E11,Tables!C16:D25,2,FALSE)),
IF(VLOOKUP(C11,Tables!A3:G12,4,TRUE)="A",VLOOKUP(F11,Tables!A16:B25,2,FALSE),VLOOKUP(F11,Tables!C16:D25,2,FALSE)),
IF(VLOOKUP(C11,Tables!A3:G12,5,TRUE)="A",VLOOKUP(G11,Tables!A16:B25,2,FALSE),VLOOKUP(G11,Tables!C16:D25,2,FALSE)),
IF(VLOOKUP(C11,Tables!A3:G12,6,TRUE)="A",VLOOKUP(H11,Tables!A16:B25,2,FALSE),VLOOKUP(H11,Tables!C16:D25,2,FALSE)),
IF(VLOOKUP(C11,Tables!A3:G12,7,TRUE)="A",VLOOKUP(I11,Tables!A16:B25,2,FALSE),VLOOKUP(I11,Tables!C16:D25,2,FALSE)),
"*",
VLOOKUP(J11,Tables!E16:F25,2,FALSE),
VLOOKUP(K11,Tables!E16:F25,2,FALSE),
VLOOKUP(L11,Tables!E16:F25,2,FALSE),
VLOOKUP(M11,Tables!E16:F25,2,FALSE),
VLOOKUP(N11,Tables!E16:F25,2,FALSE),
VLOOKUP(O11,Tables!E16:F25,2,FALSE),
"*"
)</f>
        <v>0CFAFDB*aaaaia*</v>
      </c>
      <c r="X6" s="28" t="str">
        <f>_xlfn.CONCAT(
C12,
IF(VLOOKUP(C12,Tables!A3:G12,2,TRUE)="A",VLOOKUP(D12,Tables!A16:B25,2,FALSE),VLOOKUP(D12,Tables!C16:D25,2,FALSE)),
IF(VLOOKUP(C12,Tables!A3:G12,3,TRUE)="A",VLOOKUP(E12,Tables!A16:B25,2,FALSE),VLOOKUP(E12,Tables!C16:D25,2,FALSE)),
IF(VLOOKUP(C12,Tables!A3:G12,4,TRUE)="A",VLOOKUP(F12,Tables!A16:B25,2,FALSE),VLOOKUP(F12,Tables!C16:D25,2,FALSE)),
IF(VLOOKUP(C12,Tables!A3:G12,5,TRUE)="A",VLOOKUP(G12,Tables!A16:B25,2,FALSE),VLOOKUP(G12,Tables!C16:D25,2,FALSE)),
IF(VLOOKUP(C12,Tables!A3:G12,6,TRUE)="A",VLOOKUP(H12,Tables!A16:B25,2,FALSE),VLOOKUP(H12,Tables!C16:D25,2,FALSE)),
IF(VLOOKUP(C12,Tables!A3:G12,7,TRUE)="A",VLOOKUP(I12,Tables!A16:B25,2,FALSE),VLOOKUP(I12,Tables!C16:D25,2,FALSE)),
"*",
VLOOKUP(J12,Tables!E16:F25,2,FALSE),
VLOOKUP(K12,Tables!E16:F25,2,FALSE),
VLOOKUP(L12,Tables!E16:F25,2,FALSE),
VLOOKUP(M12,Tables!E16:F25,2,FALSE),
VLOOKUP(N12,Tables!E16:F25,2,FALSE),
VLOOKUP(O12,Tables!E16:F25,2,FALSE),
"*"
)</f>
        <v>0CFAFDB*aaaajh*</v>
      </c>
      <c r="Z6" s="26" t="str">
        <f>_xlfn.CONCAT(
C13,
IF(VLOOKUP(C13,Tables!A3:G12,2,TRUE)="A",VLOOKUP(D13,Tables!A16:B25,2,FALSE),VLOOKUP(D13,Tables!C16:D25,2,FALSE)),
IF(VLOOKUP(C13,Tables!A3:G12,3,TRUE)="A",VLOOKUP(E13,Tables!A16:B25,2,FALSE),VLOOKUP(E13,Tables!C16:D25,2,FALSE)),
IF(VLOOKUP(C13,Tables!A3:G12,4,TRUE)="A",VLOOKUP(F13,Tables!A16:B25,2,FALSE),VLOOKUP(F13,Tables!C16:D25,2,FALSE)),
IF(VLOOKUP(C13,Tables!A3:G12,5,TRUE)="A",VLOOKUP(G13,Tables!A16:B25,2,FALSE),VLOOKUP(G13,Tables!C16:D25,2,FALSE)),
IF(VLOOKUP(C13,Tables!A3:G12,6,TRUE)="A",VLOOKUP(H13,Tables!A16:B25,2,FALSE),VLOOKUP(H13,Tables!C16:D25,2,FALSE)),
IF(VLOOKUP(C13,Tables!A3:G12,7,TRUE)="A",VLOOKUP(I13,Tables!A16:B25,2,FALSE),VLOOKUP(I13,Tables!C16:D25,2,FALSE)),
"*",
VLOOKUP(J13,Tables!E16:F25,2,FALSE),
VLOOKUP(K13,Tables!E16:F25,2,FALSE),
VLOOKUP(L13,Tables!E16:F25,2,FALSE),
VLOOKUP(M13,Tables!E16:F25,2,FALSE),
VLOOKUP(N13,Tables!E16:F25,2,FALSE),
VLOOKUP(O13,Tables!E16:F25,2,FALSE),
"*"
)</f>
        <v>0CFAFDB*aaabad*</v>
      </c>
    </row>
    <row r="7" spans="2:26" ht="21" x14ac:dyDescent="0.25">
      <c r="B7" s="29">
        <v>4</v>
      </c>
      <c r="C7" s="31">
        <f t="shared" ref="C6:C13" si="6">C6</f>
        <v>0</v>
      </c>
      <c r="D7" s="31">
        <f t="shared" si="0"/>
        <v>2</v>
      </c>
      <c r="E7" s="31">
        <f t="shared" si="1"/>
        <v>5</v>
      </c>
      <c r="F7" s="31">
        <f t="shared" si="2"/>
        <v>0</v>
      </c>
      <c r="G7" s="31">
        <f t="shared" si="3"/>
        <v>5</v>
      </c>
      <c r="H7" s="31">
        <f t="shared" si="4"/>
        <v>3</v>
      </c>
      <c r="I7" s="31">
        <f t="shared" si="5"/>
        <v>1</v>
      </c>
      <c r="J7" s="30">
        <v>0</v>
      </c>
      <c r="K7" s="30">
        <v>0</v>
      </c>
      <c r="L7" s="7">
        <v>0</v>
      </c>
      <c r="M7" s="7">
        <v>0</v>
      </c>
      <c r="N7" s="7">
        <v>4</v>
      </c>
      <c r="O7" s="8" cm="1">
        <f t="array" ref="O7">MOD(-SUM(MID(_xlfn.CONCAT(C7:N7),{1,3,5,7,9,11;2,4,6,8,10,12},1)*{1;3}),10)</f>
        <v>2</v>
      </c>
    </row>
    <row r="8" spans="2:26" ht="21" x14ac:dyDescent="0.25">
      <c r="B8" s="29">
        <v>5</v>
      </c>
      <c r="C8" s="31">
        <f t="shared" si="6"/>
        <v>0</v>
      </c>
      <c r="D8" s="31">
        <f t="shared" si="0"/>
        <v>2</v>
      </c>
      <c r="E8" s="31">
        <f t="shared" si="1"/>
        <v>5</v>
      </c>
      <c r="F8" s="31">
        <f t="shared" si="2"/>
        <v>0</v>
      </c>
      <c r="G8" s="31">
        <f t="shared" si="3"/>
        <v>5</v>
      </c>
      <c r="H8" s="31">
        <f t="shared" si="4"/>
        <v>3</v>
      </c>
      <c r="I8" s="31">
        <f t="shared" si="5"/>
        <v>1</v>
      </c>
      <c r="J8" s="30">
        <v>0</v>
      </c>
      <c r="K8" s="30">
        <v>0</v>
      </c>
      <c r="L8" s="7">
        <v>0</v>
      </c>
      <c r="M8" s="7">
        <v>0</v>
      </c>
      <c r="N8" s="7">
        <v>5</v>
      </c>
      <c r="O8" s="8" cm="1">
        <f t="array" ref="O8">MOD(-SUM(MID(_xlfn.CONCAT(C8:N8),{1,3,5,7,9,11;2,4,6,8,10,12},1)*{1;3}),10)</f>
        <v>9</v>
      </c>
    </row>
    <row r="9" spans="2:26" ht="21" x14ac:dyDescent="0.25">
      <c r="B9" s="29">
        <v>6</v>
      </c>
      <c r="C9" s="31">
        <f t="shared" si="6"/>
        <v>0</v>
      </c>
      <c r="D9" s="31">
        <f t="shared" si="0"/>
        <v>2</v>
      </c>
      <c r="E9" s="31">
        <f t="shared" si="1"/>
        <v>5</v>
      </c>
      <c r="F9" s="31">
        <f t="shared" si="2"/>
        <v>0</v>
      </c>
      <c r="G9" s="31">
        <f t="shared" si="3"/>
        <v>5</v>
      </c>
      <c r="H9" s="31">
        <f t="shared" si="4"/>
        <v>3</v>
      </c>
      <c r="I9" s="31">
        <f t="shared" si="5"/>
        <v>1</v>
      </c>
      <c r="J9" s="30">
        <v>0</v>
      </c>
      <c r="K9" s="30">
        <v>0</v>
      </c>
      <c r="L9" s="7">
        <v>0</v>
      </c>
      <c r="M9" s="7">
        <v>0</v>
      </c>
      <c r="N9" s="7">
        <v>6</v>
      </c>
      <c r="O9" s="8" cm="1">
        <f t="array" ref="O9">MOD(-SUM(MID(_xlfn.CONCAT(C9:N9),{1,3,5,7,9,11;2,4,6,8,10,12},1)*{1;3}),10)</f>
        <v>6</v>
      </c>
    </row>
    <row r="10" spans="2:26" ht="21" x14ac:dyDescent="0.25">
      <c r="B10" s="29">
        <v>7</v>
      </c>
      <c r="C10" s="31">
        <f t="shared" si="6"/>
        <v>0</v>
      </c>
      <c r="D10" s="31">
        <f t="shared" si="0"/>
        <v>2</v>
      </c>
      <c r="E10" s="31">
        <f t="shared" si="1"/>
        <v>5</v>
      </c>
      <c r="F10" s="31">
        <f t="shared" si="2"/>
        <v>0</v>
      </c>
      <c r="G10" s="31">
        <f t="shared" si="3"/>
        <v>5</v>
      </c>
      <c r="H10" s="31">
        <f t="shared" si="4"/>
        <v>3</v>
      </c>
      <c r="I10" s="31">
        <f t="shared" si="5"/>
        <v>1</v>
      </c>
      <c r="J10" s="30">
        <v>0</v>
      </c>
      <c r="K10" s="30">
        <v>0</v>
      </c>
      <c r="L10" s="7">
        <v>0</v>
      </c>
      <c r="M10" s="7">
        <v>0</v>
      </c>
      <c r="N10" s="7">
        <v>7</v>
      </c>
      <c r="O10" s="8" cm="1">
        <f t="array" ref="O10">MOD(-SUM(MID(_xlfn.CONCAT(C10:N10),{1,3,5,7,9,11;2,4,6,8,10,12},1)*{1;3}),10)</f>
        <v>3</v>
      </c>
    </row>
    <row r="11" spans="2:26" ht="21" x14ac:dyDescent="0.25">
      <c r="B11" s="29">
        <v>8</v>
      </c>
      <c r="C11" s="31">
        <f t="shared" si="6"/>
        <v>0</v>
      </c>
      <c r="D11" s="31">
        <f t="shared" si="0"/>
        <v>2</v>
      </c>
      <c r="E11" s="31">
        <f t="shared" si="1"/>
        <v>5</v>
      </c>
      <c r="F11" s="31">
        <f t="shared" si="2"/>
        <v>0</v>
      </c>
      <c r="G11" s="31">
        <f t="shared" si="3"/>
        <v>5</v>
      </c>
      <c r="H11" s="31">
        <f t="shared" si="4"/>
        <v>3</v>
      </c>
      <c r="I11" s="31">
        <f t="shared" si="5"/>
        <v>1</v>
      </c>
      <c r="J11" s="30">
        <v>0</v>
      </c>
      <c r="K11" s="30">
        <v>0</v>
      </c>
      <c r="L11" s="7">
        <v>0</v>
      </c>
      <c r="M11" s="7">
        <v>0</v>
      </c>
      <c r="N11" s="7">
        <v>8</v>
      </c>
      <c r="O11" s="8" cm="1">
        <f t="array" ref="O11">MOD(-SUM(MID(_xlfn.CONCAT(C11:N11),{1,3,5,7,9,11;2,4,6,8,10,12},1)*{1;3}),10)</f>
        <v>0</v>
      </c>
    </row>
    <row r="12" spans="2:26" ht="21" x14ac:dyDescent="0.25">
      <c r="B12" s="29">
        <v>9</v>
      </c>
      <c r="C12" s="31">
        <f t="shared" si="6"/>
        <v>0</v>
      </c>
      <c r="D12" s="31">
        <f t="shared" si="0"/>
        <v>2</v>
      </c>
      <c r="E12" s="31">
        <f t="shared" si="1"/>
        <v>5</v>
      </c>
      <c r="F12" s="31">
        <f t="shared" si="2"/>
        <v>0</v>
      </c>
      <c r="G12" s="31">
        <f t="shared" si="3"/>
        <v>5</v>
      </c>
      <c r="H12" s="31">
        <f t="shared" si="4"/>
        <v>3</v>
      </c>
      <c r="I12" s="31">
        <f t="shared" si="5"/>
        <v>1</v>
      </c>
      <c r="J12" s="30">
        <v>0</v>
      </c>
      <c r="K12" s="30">
        <v>0</v>
      </c>
      <c r="L12" s="7">
        <v>0</v>
      </c>
      <c r="M12" s="7">
        <v>0</v>
      </c>
      <c r="N12" s="7">
        <v>9</v>
      </c>
      <c r="O12" s="8" cm="1">
        <f t="array" ref="O12">MOD(-SUM(MID(_xlfn.CONCAT(C12:N12),{1,3,5,7,9,11;2,4,6,8,10,12},1)*{1;3}),10)</f>
        <v>7</v>
      </c>
    </row>
    <row r="13" spans="2:26" ht="21" x14ac:dyDescent="0.25">
      <c r="B13" s="29">
        <v>10</v>
      </c>
      <c r="C13" s="31">
        <f t="shared" si="6"/>
        <v>0</v>
      </c>
      <c r="D13" s="31">
        <f t="shared" si="0"/>
        <v>2</v>
      </c>
      <c r="E13" s="31">
        <f t="shared" si="1"/>
        <v>5</v>
      </c>
      <c r="F13" s="31">
        <f t="shared" si="2"/>
        <v>0</v>
      </c>
      <c r="G13" s="31">
        <f t="shared" si="3"/>
        <v>5</v>
      </c>
      <c r="H13" s="31">
        <f t="shared" si="4"/>
        <v>3</v>
      </c>
      <c r="I13" s="31">
        <f t="shared" si="5"/>
        <v>1</v>
      </c>
      <c r="J13" s="30">
        <v>0</v>
      </c>
      <c r="K13" s="30">
        <v>0</v>
      </c>
      <c r="L13" s="7">
        <v>0</v>
      </c>
      <c r="M13" s="7">
        <v>1</v>
      </c>
      <c r="N13" s="7">
        <v>0</v>
      </c>
      <c r="O13" s="8" cm="1">
        <f t="array" ref="O13">MOD(-SUM(MID(_xlfn.CONCAT(C13:N13),{1,3,5,7,9,11;2,4,6,8,10,12},1)*{1;3}),10)</f>
        <v>3</v>
      </c>
    </row>
  </sheetData>
  <mergeCells count="1">
    <mergeCell ref="C2:N2"/>
  </mergeCells>
  <dataValidations count="1">
    <dataValidation type="list" allowBlank="1" showInputMessage="1" showErrorMessage="1" sqref="J4:J13" xr:uid="{955CE8F2-D77E-406B-8359-A7F4DEC902C5}">
      <formula1>Locations</formula1>
    </dataValidation>
  </dataValidations>
  <pageMargins left="0.7" right="0.7" top="0.75" bottom="0.75" header="0.3" footer="0.3"/>
  <pageSetup paperSize="9"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Button14_Click">
                <anchor moveWithCells="1" sizeWithCells="1">
                  <from>
                    <xdr:col>17</xdr:col>
                    <xdr:colOff>114300</xdr:colOff>
                    <xdr:row>0</xdr:row>
                    <xdr:rowOff>104775</xdr:rowOff>
                  </from>
                  <to>
                    <xdr:col>17</xdr:col>
                    <xdr:colOff>1419225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0FA3-7A2E-4093-9908-80C8F05A8D05}">
  <sheetPr codeName="Sheet2"/>
  <dimension ref="B2:C12"/>
  <sheetViews>
    <sheetView workbookViewId="0">
      <selection activeCell="B53" sqref="B53"/>
    </sheetView>
  </sheetViews>
  <sheetFormatPr defaultRowHeight="15" x14ac:dyDescent="0.25"/>
  <cols>
    <col min="2" max="2" width="20.85546875" style="1" customWidth="1"/>
    <col min="3" max="3" width="5.5703125" customWidth="1"/>
  </cols>
  <sheetData>
    <row r="2" spans="2:3" x14ac:dyDescent="0.25">
      <c r="B2" s="13" t="s">
        <v>10</v>
      </c>
      <c r="C2" s="13"/>
    </row>
    <row r="3" spans="2:3" x14ac:dyDescent="0.25">
      <c r="B3" t="s">
        <v>20</v>
      </c>
      <c r="C3">
        <v>0</v>
      </c>
    </row>
    <row r="4" spans="2:3" x14ac:dyDescent="0.25">
      <c r="B4" t="s">
        <v>11</v>
      </c>
      <c r="C4">
        <v>1</v>
      </c>
    </row>
    <row r="5" spans="2:3" x14ac:dyDescent="0.25">
      <c r="B5" t="s">
        <v>12</v>
      </c>
      <c r="C5">
        <v>2</v>
      </c>
    </row>
    <row r="6" spans="2:3" x14ac:dyDescent="0.25">
      <c r="B6" t="s">
        <v>13</v>
      </c>
      <c r="C6">
        <v>3</v>
      </c>
    </row>
    <row r="7" spans="2:3" x14ac:dyDescent="0.25">
      <c r="B7" t="s">
        <v>14</v>
      </c>
      <c r="C7">
        <v>4</v>
      </c>
    </row>
    <row r="8" spans="2:3" x14ac:dyDescent="0.25">
      <c r="B8" t="s">
        <v>15</v>
      </c>
      <c r="C8">
        <v>5</v>
      </c>
    </row>
    <row r="9" spans="2:3" x14ac:dyDescent="0.25">
      <c r="B9" t="s">
        <v>16</v>
      </c>
      <c r="C9">
        <v>6</v>
      </c>
    </row>
    <row r="10" spans="2:3" x14ac:dyDescent="0.25">
      <c r="B10" t="s">
        <v>17</v>
      </c>
      <c r="C10">
        <v>7</v>
      </c>
    </row>
    <row r="11" spans="2:3" x14ac:dyDescent="0.25">
      <c r="B11" t="s">
        <v>18</v>
      </c>
      <c r="C11">
        <v>8</v>
      </c>
    </row>
    <row r="12" spans="2:3" x14ac:dyDescent="0.25">
      <c r="B12" t="s">
        <v>19</v>
      </c>
      <c r="C12">
        <v>9</v>
      </c>
    </row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5DDE9-9F75-4EC2-AF08-329C200F1D4F}">
  <sheetPr codeName="Sheet3"/>
  <dimension ref="A1:G25"/>
  <sheetViews>
    <sheetView workbookViewId="0">
      <selection activeCell="G48" sqref="G48"/>
    </sheetView>
  </sheetViews>
  <sheetFormatPr defaultRowHeight="15" x14ac:dyDescent="0.25"/>
  <sheetData>
    <row r="1" spans="1:7" x14ac:dyDescent="0.25">
      <c r="A1" t="s">
        <v>64</v>
      </c>
    </row>
    <row r="2" spans="1:7" ht="42.75" x14ac:dyDescent="0.25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</row>
    <row r="3" spans="1:7" x14ac:dyDescent="0.25">
      <c r="A3" s="15">
        <v>0</v>
      </c>
      <c r="B3" s="15" t="s">
        <v>34</v>
      </c>
      <c r="C3" s="15" t="s">
        <v>34</v>
      </c>
      <c r="D3" s="15" t="s">
        <v>34</v>
      </c>
      <c r="E3" s="15" t="s">
        <v>34</v>
      </c>
      <c r="F3" s="15" t="s">
        <v>34</v>
      </c>
      <c r="G3" s="15" t="s">
        <v>34</v>
      </c>
    </row>
    <row r="4" spans="1:7" x14ac:dyDescent="0.25">
      <c r="A4" s="15">
        <v>1</v>
      </c>
      <c r="B4" s="15" t="s">
        <v>34</v>
      </c>
      <c r="C4" s="15" t="s">
        <v>34</v>
      </c>
      <c r="D4" s="15" t="s">
        <v>35</v>
      </c>
      <c r="E4" s="15" t="s">
        <v>34</v>
      </c>
      <c r="F4" s="15" t="s">
        <v>35</v>
      </c>
      <c r="G4" s="15" t="s">
        <v>35</v>
      </c>
    </row>
    <row r="5" spans="1:7" x14ac:dyDescent="0.25">
      <c r="A5" s="15">
        <v>2</v>
      </c>
      <c r="B5" s="15" t="s">
        <v>34</v>
      </c>
      <c r="C5" s="15" t="s">
        <v>34</v>
      </c>
      <c r="D5" s="15" t="s">
        <v>35</v>
      </c>
      <c r="E5" s="15" t="s">
        <v>35</v>
      </c>
      <c r="F5" s="15" t="s">
        <v>34</v>
      </c>
      <c r="G5" s="15" t="s">
        <v>35</v>
      </c>
    </row>
    <row r="6" spans="1:7" x14ac:dyDescent="0.25">
      <c r="A6" s="15">
        <v>3</v>
      </c>
      <c r="B6" s="15" t="s">
        <v>34</v>
      </c>
      <c r="C6" s="15" t="s">
        <v>34</v>
      </c>
      <c r="D6" s="15" t="s">
        <v>35</v>
      </c>
      <c r="E6" s="15" t="s">
        <v>35</v>
      </c>
      <c r="F6" s="15" t="s">
        <v>35</v>
      </c>
      <c r="G6" s="15" t="s">
        <v>34</v>
      </c>
    </row>
    <row r="7" spans="1:7" x14ac:dyDescent="0.25">
      <c r="A7" s="15">
        <v>4</v>
      </c>
      <c r="B7" s="15" t="s">
        <v>34</v>
      </c>
      <c r="C7" s="15" t="s">
        <v>35</v>
      </c>
      <c r="D7" s="15" t="s">
        <v>34</v>
      </c>
      <c r="E7" s="15" t="s">
        <v>34</v>
      </c>
      <c r="F7" s="15" t="s">
        <v>35</v>
      </c>
      <c r="G7" s="15" t="s">
        <v>35</v>
      </c>
    </row>
    <row r="8" spans="1:7" x14ac:dyDescent="0.25">
      <c r="A8" s="15">
        <v>5</v>
      </c>
      <c r="B8" s="15" t="s">
        <v>34</v>
      </c>
      <c r="C8" s="15" t="s">
        <v>35</v>
      </c>
      <c r="D8" s="15" t="s">
        <v>35</v>
      </c>
      <c r="E8" s="15" t="s">
        <v>34</v>
      </c>
      <c r="F8" s="15" t="s">
        <v>34</v>
      </c>
      <c r="G8" s="15" t="s">
        <v>35</v>
      </c>
    </row>
    <row r="9" spans="1:7" x14ac:dyDescent="0.25">
      <c r="A9" s="15">
        <v>6</v>
      </c>
      <c r="B9" s="15" t="s">
        <v>34</v>
      </c>
      <c r="C9" s="15" t="s">
        <v>35</v>
      </c>
      <c r="D9" s="15" t="s">
        <v>35</v>
      </c>
      <c r="E9" s="15" t="s">
        <v>35</v>
      </c>
      <c r="F9" s="15" t="s">
        <v>34</v>
      </c>
      <c r="G9" s="15" t="s">
        <v>34</v>
      </c>
    </row>
    <row r="10" spans="1:7" x14ac:dyDescent="0.25">
      <c r="A10" s="15">
        <v>7</v>
      </c>
      <c r="B10" s="15" t="s">
        <v>34</v>
      </c>
      <c r="C10" s="15" t="s">
        <v>35</v>
      </c>
      <c r="D10" s="15" t="s">
        <v>34</v>
      </c>
      <c r="E10" s="15" t="s">
        <v>35</v>
      </c>
      <c r="F10" s="15" t="s">
        <v>34</v>
      </c>
      <c r="G10" s="15" t="s">
        <v>35</v>
      </c>
    </row>
    <row r="11" spans="1:7" x14ac:dyDescent="0.25">
      <c r="A11" s="15">
        <v>8</v>
      </c>
      <c r="B11" s="15" t="s">
        <v>34</v>
      </c>
      <c r="C11" s="15" t="s">
        <v>35</v>
      </c>
      <c r="D11" s="15" t="s">
        <v>34</v>
      </c>
      <c r="E11" s="15" t="s">
        <v>35</v>
      </c>
      <c r="F11" s="15" t="s">
        <v>35</v>
      </c>
      <c r="G11" s="15" t="s">
        <v>34</v>
      </c>
    </row>
    <row r="12" spans="1:7" x14ac:dyDescent="0.25">
      <c r="A12" s="15">
        <v>9</v>
      </c>
      <c r="B12" s="15" t="s">
        <v>34</v>
      </c>
      <c r="C12" s="15" t="s">
        <v>35</v>
      </c>
      <c r="D12" s="15" t="s">
        <v>35</v>
      </c>
      <c r="E12" s="15" t="s">
        <v>34</v>
      </c>
      <c r="F12" s="15" t="s">
        <v>35</v>
      </c>
      <c r="G12" s="15" t="s">
        <v>34</v>
      </c>
    </row>
    <row r="15" spans="1:7" x14ac:dyDescent="0.25">
      <c r="A15" t="s">
        <v>23</v>
      </c>
      <c r="C15" t="s">
        <v>24</v>
      </c>
      <c r="E15" t="s">
        <v>25</v>
      </c>
    </row>
    <row r="16" spans="1:7" x14ac:dyDescent="0.25">
      <c r="A16">
        <v>0</v>
      </c>
      <c r="B16" t="s">
        <v>34</v>
      </c>
      <c r="C16">
        <v>0</v>
      </c>
      <c r="D16" t="s">
        <v>44</v>
      </c>
      <c r="E16">
        <v>0</v>
      </c>
      <c r="F16" t="s">
        <v>54</v>
      </c>
    </row>
    <row r="17" spans="1:6" x14ac:dyDescent="0.25">
      <c r="A17">
        <v>1</v>
      </c>
      <c r="B17" t="s">
        <v>35</v>
      </c>
      <c r="C17">
        <v>1</v>
      </c>
      <c r="D17" t="s">
        <v>45</v>
      </c>
      <c r="E17">
        <v>1</v>
      </c>
      <c r="F17" t="s">
        <v>55</v>
      </c>
    </row>
    <row r="18" spans="1:6" x14ac:dyDescent="0.25">
      <c r="A18">
        <v>2</v>
      </c>
      <c r="B18" t="s">
        <v>36</v>
      </c>
      <c r="C18">
        <v>2</v>
      </c>
      <c r="D18" t="s">
        <v>46</v>
      </c>
      <c r="E18">
        <v>2</v>
      </c>
      <c r="F18" t="s">
        <v>56</v>
      </c>
    </row>
    <row r="19" spans="1:6" x14ac:dyDescent="0.25">
      <c r="A19">
        <v>3</v>
      </c>
      <c r="B19" t="s">
        <v>37</v>
      </c>
      <c r="C19">
        <v>3</v>
      </c>
      <c r="D19" t="s">
        <v>47</v>
      </c>
      <c r="E19">
        <v>3</v>
      </c>
      <c r="F19" t="s">
        <v>57</v>
      </c>
    </row>
    <row r="20" spans="1:6" x14ac:dyDescent="0.25">
      <c r="A20">
        <v>4</v>
      </c>
      <c r="B20" t="s">
        <v>38</v>
      </c>
      <c r="C20">
        <v>4</v>
      </c>
      <c r="D20" t="s">
        <v>48</v>
      </c>
      <c r="E20">
        <v>4</v>
      </c>
      <c r="F20" t="s">
        <v>58</v>
      </c>
    </row>
    <row r="21" spans="1:6" x14ac:dyDescent="0.25">
      <c r="A21">
        <v>5</v>
      </c>
      <c r="B21" t="s">
        <v>39</v>
      </c>
      <c r="C21">
        <v>5</v>
      </c>
      <c r="D21" t="s">
        <v>49</v>
      </c>
      <c r="E21">
        <v>5</v>
      </c>
      <c r="F21" t="s">
        <v>59</v>
      </c>
    </row>
    <row r="22" spans="1:6" x14ac:dyDescent="0.25">
      <c r="A22">
        <v>6</v>
      </c>
      <c r="B22" t="s">
        <v>40</v>
      </c>
      <c r="C22">
        <v>6</v>
      </c>
      <c r="D22" t="s">
        <v>50</v>
      </c>
      <c r="E22">
        <v>6</v>
      </c>
      <c r="F22" t="s">
        <v>60</v>
      </c>
    </row>
    <row r="23" spans="1:6" x14ac:dyDescent="0.25">
      <c r="A23">
        <v>7</v>
      </c>
      <c r="B23" t="s">
        <v>41</v>
      </c>
      <c r="C23">
        <v>7</v>
      </c>
      <c r="D23" t="s">
        <v>51</v>
      </c>
      <c r="E23">
        <v>7</v>
      </c>
      <c r="F23" t="s">
        <v>61</v>
      </c>
    </row>
    <row r="24" spans="1:6" x14ac:dyDescent="0.25">
      <c r="A24">
        <v>8</v>
      </c>
      <c r="B24" t="s">
        <v>42</v>
      </c>
      <c r="C24">
        <v>8</v>
      </c>
      <c r="D24" t="s">
        <v>52</v>
      </c>
      <c r="E24">
        <v>8</v>
      </c>
      <c r="F24" t="s">
        <v>62</v>
      </c>
    </row>
    <row r="25" spans="1:6" x14ac:dyDescent="0.25">
      <c r="A25">
        <v>9</v>
      </c>
      <c r="B25" t="s">
        <v>43</v>
      </c>
      <c r="C25">
        <v>9</v>
      </c>
      <c r="D25" t="s">
        <v>53</v>
      </c>
      <c r="E25">
        <v>9</v>
      </c>
      <c r="F25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23824-E3F8-45B4-8C3F-C673EB932149}">
  <sheetPr codeName="Sheet4"/>
  <dimension ref="A1:C3"/>
  <sheetViews>
    <sheetView workbookViewId="0">
      <selection activeCell="C49" sqref="C49"/>
    </sheetView>
  </sheetViews>
  <sheetFormatPr defaultRowHeight="15" x14ac:dyDescent="0.25"/>
  <cols>
    <col min="2" max="2" width="55.5703125" customWidth="1"/>
    <col min="3" max="3" width="90.42578125" customWidth="1"/>
    <col min="4" max="4" width="45.28515625" customWidth="1"/>
  </cols>
  <sheetData>
    <row r="1" spans="1:3" x14ac:dyDescent="0.25">
      <c r="B1" t="s">
        <v>68</v>
      </c>
      <c r="C1" t="s">
        <v>69</v>
      </c>
    </row>
    <row r="2" spans="1:3" x14ac:dyDescent="0.25">
      <c r="A2">
        <v>1</v>
      </c>
      <c r="B2" t="s">
        <v>66</v>
      </c>
      <c r="C2" s="16" t="s">
        <v>26</v>
      </c>
    </row>
    <row r="3" spans="1:3" x14ac:dyDescent="0.25">
      <c r="A3">
        <v>2</v>
      </c>
      <c r="B3" t="s">
        <v>67</v>
      </c>
      <c r="C3" t="s">
        <v>65</v>
      </c>
    </row>
  </sheetData>
  <hyperlinks>
    <hyperlink ref="C2" r:id="rId1" xr:uid="{15251647-1F6D-4086-A4E8-DB600D86DBE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Notes</vt:lpstr>
      <vt:lpstr>Barcode</vt:lpstr>
      <vt:lpstr>Data</vt:lpstr>
      <vt:lpstr>Tables</vt:lpstr>
      <vt:lpstr>Ref</vt:lpstr>
      <vt:lpstr>location_key_val</vt:lpstr>
      <vt:lpstr>Locations</vt:lpstr>
      <vt:lpstr>Barcode!Print_Area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vnetic Leung</dc:creator>
  <cp:lastModifiedBy>vnetic Leung</cp:lastModifiedBy>
  <cp:lastPrinted>2025-05-27T16:05:55Z</cp:lastPrinted>
  <dcterms:created xsi:type="dcterms:W3CDTF">2025-05-21T08:54:42Z</dcterms:created>
  <dcterms:modified xsi:type="dcterms:W3CDTF">2025-05-27T16:12:31Z</dcterms:modified>
</cp:coreProperties>
</file>